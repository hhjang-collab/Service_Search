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chtria\Downloads\"/>
    </mc:Choice>
  </mc:AlternateContent>
  <xr:revisionPtr revIDLastSave="0" documentId="13_ncr:1_{4B270665-4371-4C89-85D8-E79E9BA6B8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사업 명단" sheetId="2" r:id="rId1"/>
  </sheets>
  <definedNames>
    <definedName name="_xlnm._FilterDatabase" localSheetId="0" hidden="1">'사업 명단'!$A$1:$I$128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" i="2" l="1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<sst xmlns="http://schemas.openxmlformats.org/spreadsheetml/2006/main" count="485" uniqueCount="215">
  <si>
    <t>분야</t>
  </si>
  <si>
    <t>영역</t>
  </si>
  <si>
    <t>인공지능</t>
  </si>
  <si>
    <t>전략/정책 기획</t>
  </si>
  <si>
    <t>ICT/디지털</t>
  </si>
  <si>
    <t>시장/기술 리서치</t>
  </si>
  <si>
    <t>제조/소재부품장비</t>
  </si>
  <si>
    <t>타당성/성과 분석</t>
  </si>
  <si>
    <t>모빌리티/항공</t>
  </si>
  <si>
    <t>비즈니스/사업화 지원</t>
  </si>
  <si>
    <t>에너지/환경</t>
  </si>
  <si>
    <t>AX/DX/IT 컨설팅</t>
  </si>
  <si>
    <t>의료/바이오</t>
  </si>
  <si>
    <t>운영/지원/교육</t>
  </si>
  <si>
    <t>공공/지역혁신</t>
  </si>
  <si>
    <t>반도체/디스플레이</t>
  </si>
  <si>
    <t>도시/인프라</t>
  </si>
  <si>
    <t>사업번호</t>
  </si>
  <si>
    <t>사업(용역)명</t>
  </si>
  <si>
    <t>발주처</t>
  </si>
  <si>
    <t>사업시작</t>
  </si>
  <si>
    <t>사업종료</t>
  </si>
  <si>
    <t>사업 기간(연월)</t>
  </si>
  <si>
    <t>금액</t>
  </si>
  <si>
    <t>기후에너지 창업사업화 지원사업 구조 개편 효율화 연구</t>
  </si>
  <si>
    <t>한국환경산업기술원</t>
  </si>
  <si>
    <t>대한민국 반도체 산업의 진단 및 중장기 경쟁력 확보방안 연구</t>
  </si>
  <si>
    <t>한국산업기술진흥원</t>
  </si>
  <si>
    <t>강원 디지털산업 중장기 전략 및 이행방안 수립용역</t>
  </si>
  <si>
    <t>재단법인 강원테크노파크</t>
  </si>
  <si>
    <t>드론 해외진출을 위한 중장기 진출전략 수립 용역</t>
  </si>
  <si>
    <t>한국생산성본부</t>
  </si>
  <si>
    <t>국가첨단전략산업 소부장 중소중견기업 투자지원금 2차 추가사업</t>
  </si>
  <si>
    <t>국가첨단전략산업 소부장 중소중견기업 투자지원금사업 기업지원 운영</t>
  </si>
  <si>
    <t>녹색인증 운영 및 홍보 지원</t>
  </si>
  <si>
    <t>전북 군산 산단 AX 마스터플랜 수립</t>
  </si>
  <si>
    <t>전북테크노파크</t>
  </si>
  <si>
    <t>해외진출 지원 거점 체계 개선방안 수립</t>
  </si>
  <si>
    <t>한국환경창업기술원</t>
  </si>
  <si>
    <t>천안형 인공지능 산업 육성 및 지원계획 수립 용역 환경분석</t>
  </si>
  <si>
    <t>㈜씨앤엘컨설팅</t>
  </si>
  <si>
    <t>과학치안 전문 교육 프로그램 개발 용역</t>
  </si>
  <si>
    <t>대구테크노파크</t>
  </si>
  <si>
    <t>2025년 경북대학교 AI시티포럼 구성 및 운영 용역</t>
  </si>
  <si>
    <t>경북대학교산학협력단</t>
  </si>
  <si>
    <t>강원지역 광물자원 기반 산업경쟁력 강화 방안 수립</t>
  </si>
  <si>
    <t>영월산업진흥원</t>
  </si>
  <si>
    <t>고대역폭 메모리의 불량 검출 및 분석을 위한 AI 기반 비파괴 장비 기술 _AI 자율제조_1차년도</t>
  </si>
  <si>
    <t>한국산업기술기획평가원</t>
  </si>
  <si>
    <t>상주시 경천섬 드론배송 실증사업 경제성 분석 연구용역</t>
  </si>
  <si>
    <t>상주시 드론실증도시 구축사업 컨소시엄</t>
  </si>
  <si>
    <t>스마트도시 기술매거진 제작 용역</t>
  </si>
  <si>
    <t>스마트도시협회</t>
  </si>
  <si>
    <t>달성2차산업단지 노후환경개선 방안 연구용역</t>
  </si>
  <si>
    <t>한국산업단지공단</t>
  </si>
  <si>
    <t>공간정보 기반 음향 기술 동향 분석</t>
  </si>
  <si>
    <t>한국전자기술연구원</t>
  </si>
  <si>
    <t>디지털트윈 의료기기/임상분야 해외사례 분석 및 산업동향조사 연구용역</t>
  </si>
  <si>
    <t>재단법인강원테크노파크</t>
  </si>
  <si>
    <t>국가첨단전략산업 소부장 중소중견기업 투자지원금사업 기업지원 운영 용역</t>
  </si>
  <si>
    <t xml:space="preserve">경기도 중소기업 디지털전환 컨설팅 지원사업 </t>
  </si>
  <si>
    <t>가공 공정 협업플랫폼의 비즈니스 모델 수립 및 고도화 용역</t>
  </si>
  <si>
    <t>환경부 디지털전환을 선도하는 정보화 선진화 방안 연구</t>
  </si>
  <si>
    <t>기후에너지환경부</t>
  </si>
  <si>
    <t>형사사법연구도서관(가칭)의 AI 기반 서비스 모델 개발 연구</t>
  </si>
  <si>
    <t>대검찰청</t>
  </si>
  <si>
    <t xml:space="preserve">환경창업 지원사업 개선연구 </t>
  </si>
  <si>
    <t>12대 업종 제조특화 AI 모델 활용한 비즈니스 모델 개발_2차년도</t>
  </si>
  <si>
    <t>반월시화 공정혁신 시뮬레이션 컨설팅</t>
  </si>
  <si>
    <t>중견DX 진단팀 프레임워크 및 표준화 사전교육</t>
  </si>
  <si>
    <t>한국산업지능화협회</t>
  </si>
  <si>
    <t>생성형 언어모델 기반 데이터플랫폼 서비스 구축</t>
  </si>
  <si>
    <t>한국해양교통안전공단 교육용역</t>
  </si>
  <si>
    <t>한국해양교통안전공단</t>
  </si>
  <si>
    <t xml:space="preserve">특허 전략보고서(차량용 면상 발열체) </t>
  </si>
  <si>
    <t>주식회사 송이실업</t>
  </si>
  <si>
    <t>현장수요 맞춤형 기술개발사업 사전기획 연구</t>
  </si>
  <si>
    <t xml:space="preserve">국가첨단전략산업 기술혁신 융자 사업 운영지원 시범운영 </t>
  </si>
  <si>
    <t xml:space="preserve">한국산업기술진흥원 </t>
  </si>
  <si>
    <t>세종 최종보고서 작성 지원 및 전북 신규사업기획 현황분석</t>
  </si>
  <si>
    <t>국내 태양광산업 분야별 육성정책 및 효용성 분석</t>
  </si>
  <si>
    <t>태양광산업협회</t>
  </si>
  <si>
    <t xml:space="preserve">태양광산업 시장전망 설문조사 </t>
  </si>
  <si>
    <t>사단법인 한국태양광산업협회</t>
  </si>
  <si>
    <t>대구경북지역혁신플랫폼 전자정보기기 사업 3차년도 만족도 조사</t>
  </si>
  <si>
    <t>대구경북지역혁신플랫폼 전자정보기기사업단</t>
  </si>
  <si>
    <t>기술은행사업 개편전략 수립</t>
  </si>
  <si>
    <t xml:space="preserve">Codyssey 활용 전략 수립 및 조직 진단 컨설팅 </t>
  </si>
  <si>
    <t>(재)이노베이션 아카데미</t>
  </si>
  <si>
    <t>주식회사 제이솔루션</t>
  </si>
  <si>
    <t>첨단소재 업종별 시장 기술동향 조사</t>
  </si>
  <si>
    <t>경북산업디지털전환 협업지원센터</t>
  </si>
  <si>
    <t>2025년 디지털분야트렌드조사</t>
  </si>
  <si>
    <t>한국지능정보사회진흥원</t>
  </si>
  <si>
    <t>산업데이터 분석 사례(유스케이스) 연구</t>
  </si>
  <si>
    <t xml:space="preserve">한국산업지능화협회 </t>
  </si>
  <si>
    <t xml:space="preserve">의사과학자 육성 전략 수립 </t>
  </si>
  <si>
    <t>한국의과대학 의학전문대학원협회 (KAMC)</t>
  </si>
  <si>
    <t>12대 업종 제조특화 AI 모델 활용한 비즈니스 모델 개발_1차년도</t>
  </si>
  <si>
    <t xml:space="preserve">신기술 개발을 위한 R&amp;D기획 지원사업 </t>
  </si>
  <si>
    <t>미래첨단소재㈜</t>
  </si>
  <si>
    <t>[해외전시 및 비즈니스 상담 지원] 3차년도 글로벌(인도네시아) 온ㆍ오프라인 비즈니스 상담회</t>
  </si>
  <si>
    <t xml:space="preserve">기술사업화 재정융자사업 운영지원 </t>
  </si>
  <si>
    <t>한국산업기술진흥원 (KIAT)</t>
  </si>
  <si>
    <t xml:space="preserve">2024 산업용 에너지관리 시스템 분야의 산업 디지털 전환 적합성 인증 수요조사 </t>
  </si>
  <si>
    <t>과학치안 분야 비즈니스모델(BM) 개발 용역</t>
  </si>
  <si>
    <t>2024 뉴테크 기술닥터바우처 지원 (기술사업화 역량진단)</t>
  </si>
  <si>
    <t xml:space="preserve">SW인재키움센터 구축ㆍ운영 기본계획 수립 </t>
  </si>
  <si>
    <t>정보통신산업진흥원 (NIPA)</t>
  </si>
  <si>
    <t xml:space="preserve">로봇산업 AI도입 현황 및 교육수요 조사 </t>
  </si>
  <si>
    <t>한국로봇산업협회</t>
  </si>
  <si>
    <t xml:space="preserve">도시문제 정의에 따른 솔루션 구체화 컨설팅 </t>
  </si>
  <si>
    <t>[2024년 산업전문인력 AI 역량강화 지원사업] 의료바이오 산업현황 및 AI융합 교육 수요조사</t>
  </si>
  <si>
    <t>강원테크노파크</t>
  </si>
  <si>
    <t xml:space="preserve">정보화 시스템 고도화를 위한 ISP 수립 </t>
  </si>
  <si>
    <t>대한의사협회</t>
  </si>
  <si>
    <t>중소환경기업 기술사업화 지원강화 방안 수립</t>
  </si>
  <si>
    <t>글로컬 무인이동체 선도사업 조성 추진전략 도출 연구</t>
  </si>
  <si>
    <t>상주시</t>
  </si>
  <si>
    <t xml:space="preserve">R&amp;D혁신스케일업융자(이차보전)사업 홍보지원 시범운영 </t>
  </si>
  <si>
    <t>「2024년 스타기업 육성사업」 원포인트 지원사업</t>
  </si>
  <si>
    <t>고진공 다이캐스팅 기술동향 및 핵심특허 분석</t>
  </si>
  <si>
    <t>구미전자정보기술원</t>
  </si>
  <si>
    <t>2024 KNU 가족회사 기술 사업화 역량진단</t>
  </si>
  <si>
    <t>2024 KNU 가족회사 글로벌 비즈니스 상담회</t>
  </si>
  <si>
    <t>산업AI 내재화 추진 전략 연구</t>
  </si>
  <si>
    <t xml:space="preserve">국내외 메타버스 콘텐츠 분석을 통한 지역 메타버스 공동 콘텐츠 발굴 </t>
  </si>
  <si>
    <t>재단법인 구미전자정보기술원</t>
  </si>
  <si>
    <t>2023 뉴테크 기술사업화 역량 진단</t>
  </si>
  <si>
    <t>경북대학교 산학협력단</t>
  </si>
  <si>
    <t xml:space="preserve">강원특별자치도 인공지능 산업 연구 </t>
  </si>
  <si>
    <t>강원정보 문화산업 진흥원</t>
  </si>
  <si>
    <t xml:space="preserve">차세대 바이오연료의 모빌리티 품질기준 개발 및 적용 기술 개발 전략지원 </t>
  </si>
  <si>
    <t>한국표준협회</t>
  </si>
  <si>
    <t>산업DX 지원플랫폼고도화를 위한 글로벌 동향 보고서 작성/ 업로드및DX분야컨설팅</t>
  </si>
  <si>
    <t>2023년 신성장동력 기술사업화 지원사업</t>
  </si>
  <si>
    <t>한국기술사업화협회</t>
  </si>
  <si>
    <t>IDX 적합성 평가 산업제어시스템 분야 수요조사</t>
  </si>
  <si>
    <t>2023 디지털트윈 혁신서비스 선도사업관련 조사</t>
  </si>
  <si>
    <t>(재)경북테크노파크</t>
  </si>
  <si>
    <t>데이터 가치평가 및 품질관리제도 활성화 방안 연구</t>
  </si>
  <si>
    <t>주식회사 드위치</t>
  </si>
  <si>
    <t>인공지능 융합 프로젝트 (AI+X) 성과분석 및 우수사례발굴</t>
  </si>
  <si>
    <t>정보통신산업진흥원</t>
  </si>
  <si>
    <t>위험도 평가 대응 모델 개발의 경제적 타당성 분석 용역</t>
  </si>
  <si>
    <t>철도기술 연구원</t>
  </si>
  <si>
    <t>2023년 전남테크노파크 특화컨설팅 지원사업</t>
  </si>
  <si>
    <t>㈜기성</t>
  </si>
  <si>
    <t>산업DX규제지원 및 마이데이터플랫폼도입방안연구</t>
  </si>
  <si>
    <t>2023년 우리나라 디지털 전환 지표 조사</t>
  </si>
  <si>
    <t>한국지능 정보사회 진흥원</t>
  </si>
  <si>
    <t>2023년 산업전문인력 AI역량강화 지원사업 의료바이오산업현황 및 AI융합 교육 수요조사</t>
  </si>
  <si>
    <t>(재)강원테크노파크</t>
  </si>
  <si>
    <t xml:space="preserve">위험도 평가 대응 모델 개발의 경제적 타당성 분석 </t>
  </si>
  <si>
    <t>한국철도기술연구원</t>
  </si>
  <si>
    <t>R&amp;D기획지원-기술사업화 전략 기획</t>
  </si>
  <si>
    <t>㈜에이엘테크</t>
  </si>
  <si>
    <t>2023년 ATC사업 연구개발 기획 지원</t>
  </si>
  <si>
    <t>해외시장 및 기술조사</t>
  </si>
  <si>
    <t>현장수요 맞춤형 환경분야 실용화 촉진 기술개발사업 기획연구</t>
  </si>
  <si>
    <t>LINC3.0사업단 TBC Partners 기술자문단 기업진단분석 및 컨설팅</t>
  </si>
  <si>
    <t>대구한의대 LINC3.0 사업단</t>
  </si>
  <si>
    <t>경북 지역혁신클러스터 2단계 기술동향조사</t>
  </si>
  <si>
    <t>(재)경북지역사업평가단</t>
  </si>
  <si>
    <t>2023년 디지털 분야 트렌드 조사 용역</t>
  </si>
  <si>
    <t>2022 파브산업 육성사업 국내외 PAV기업 및 산업 기술 동향 조사 용역</t>
  </si>
  <si>
    <t>(재)인천 테크노파크</t>
  </si>
  <si>
    <t>2022 특허 메가트렌드 시장 기술동향 분석 용역</t>
  </si>
  <si>
    <t>한국특허전략개발원</t>
  </si>
  <si>
    <t>IDX 적합성 평가 수요조사</t>
  </si>
  <si>
    <t>글로벌 4차산업 특별도시, 성남 종합 계획 전략 방안 연구</t>
  </si>
  <si>
    <t>성남시</t>
  </si>
  <si>
    <t>비즈니스-고용 연계 전략 수립 용역</t>
  </si>
  <si>
    <t>제주테크노파크</t>
  </si>
  <si>
    <t>인공지능 식별사업 산업동향 및 성과분석을 통한 성과 확산 용역</t>
  </si>
  <si>
    <t>국가기술은행 오픈이노베이션 플랫폼 전환을 위한 기획 연구</t>
  </si>
  <si>
    <t>한국산업 기술진흥원</t>
  </si>
  <si>
    <t>국가AI데이터센터 서비스 운영 전략 수립</t>
  </si>
  <si>
    <t>인공지능산업융합사업단</t>
  </si>
  <si>
    <t>사업화 위한 비즈니스모델 개발</t>
  </si>
  <si>
    <t>㈜유엔이</t>
  </si>
  <si>
    <t>2022 DX 모델개발 및 시범적용 업종별 DX 현황분석(5개업종)</t>
  </si>
  <si>
    <t>한국 생산성본부</t>
  </si>
  <si>
    <t>제로 트러스트 네트워크 기반 기축 아파트 지능형 홈네트워크 세대간 망분리 구현 및 리빙랩 운영을 통한 제품의 사업화</t>
  </si>
  <si>
    <t>정보통신 기획평가원</t>
  </si>
  <si>
    <t xml:space="preserve">2022년도 중견기업재도약지원사업 </t>
  </si>
  <si>
    <t>㈜세프라, ㈜아바코</t>
  </si>
  <si>
    <t xml:space="preserve">산학연협력선도대학육성사업(LINC3.0) 사업계획수립 </t>
  </si>
  <si>
    <t>남서울대학교</t>
  </si>
  <si>
    <t>AI기술 기반의 국토 지반정보 연계 철도 시설물 지진피해 평가 핵심기술 개발 경제타당성 분석</t>
  </si>
  <si>
    <t>베트남의 기술가치평가 체계 고도화 전략 수립</t>
  </si>
  <si>
    <t>한국개발연구원</t>
  </si>
  <si>
    <t>대심도 장대터널(GTX)의 재난 대응 복합훈련장 개발 경제타당성 분석</t>
  </si>
  <si>
    <t>산업DX컨설팅 프로그램 개발 및 성과관리</t>
  </si>
  <si>
    <t>LH스마트홈 2.0 추진전략 수립 연구용역</t>
  </si>
  <si>
    <t>한국주택토지공사</t>
  </si>
  <si>
    <t>ICT를 활용한 문화재 안내판 도입방안 연구</t>
  </si>
  <si>
    <t>문화재청</t>
  </si>
  <si>
    <t>인공지능학습용 데이터 품질관리체계 고도화 및 전문기술지원 컨설팅</t>
  </si>
  <si>
    <t>한국지능정보사회지능원</t>
  </si>
  <si>
    <t>“혁신적 SW교육 확산 타당성 연구” 사업 추진</t>
  </si>
  <si>
    <t>2021 DX 모델개발 및 시범적용 업종별 DX 현황 분석 (5개업종)</t>
  </si>
  <si>
    <t>소재부품장비 융합혁신지원단 컨택센터 구축</t>
  </si>
  <si>
    <t>「경북 청년 CEO 재도약 지원사업 성장전략수립」용역</t>
  </si>
  <si>
    <t>경북테크노파크</t>
  </si>
  <si>
    <t>한국생산성본부인증원 디지털 전환 중장기 전략 수립</t>
  </si>
  <si>
    <t>디스플레이 혁신공정 플랫폼 구축사업 (디스플레이 혁신공정센터 기반구축 사업)</t>
  </si>
  <si>
    <t>KIAT 정보화기본계획 수립용역</t>
  </si>
  <si>
    <t>2020년 BIG3 분야 중소벤처기업  혁신성장 지원사업 성과분석 용역</t>
  </si>
  <si>
    <t>인공지능 산업청사진 구축 연구</t>
  </si>
  <si>
    <t>한국연구재단 정보통신기획평가원</t>
  </si>
  <si>
    <t>국가첨단전략산업 소부장 투자지원금 컨택센터 운영</t>
  </si>
  <si>
    <r>
      <rPr>
        <sz val="10"/>
        <color theme="1"/>
        <rFont val="맑은 고딕"/>
        <family val="3"/>
        <charset val="129"/>
      </rPr>
      <t>「</t>
    </r>
    <r>
      <rPr>
        <sz val="10"/>
        <color theme="1"/>
        <rFont val="Arial"/>
        <family val="2"/>
        <scheme val="minor"/>
      </rPr>
      <t>2024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스타기업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육성사업」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원포인트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지원사업 중장기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성장전략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컨설팅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용역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</si>
  <si>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맑은 고딕"/>
        <family val="3"/>
        <charset val="129"/>
      </rPr>
      <t>성과확산형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국제협력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기술개발사업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맑은 고딕"/>
        <family val="3"/>
        <charset val="129"/>
      </rPr>
      <t>아세안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지역에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적합한</t>
    </r>
    <r>
      <rPr>
        <sz val="10"/>
        <color theme="1"/>
        <rFont val="Arial"/>
        <family val="2"/>
        <scheme val="minor"/>
      </rPr>
      <t xml:space="preserve"> AI</t>
    </r>
    <r>
      <rPr>
        <sz val="10"/>
        <color theme="1"/>
        <rFont val="맑은 고딕"/>
        <family val="3"/>
        <charset val="129"/>
      </rPr>
      <t>기반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선별과제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시스템의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시장화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개발</t>
    </r>
    <phoneticPr fontId="2" type="noConversion"/>
  </si>
  <si>
    <t>국토교통부 국토교통과학기술진흥원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</si>
</sst>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&quot;. &quot;mm&quot;. &quot;dd"/>
    <numFmt numFmtId="177" formatCode="[$₩]#,##0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7" formatCode="[$₩]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4">
    <tableStyle name="4. 용역 분류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3. 인력 명단-style" pivot="0" count="4" xr9:uid="{00000000-0011-0000-FFFF-FFFF01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2. 사업 명단-style" pivot="0" count="5" xr9:uid="{00000000-0011-0000-FFFF-FFFF02000000}">
      <tableStyleElement type="wholeTable" size="0" dxfId="17"/>
      <tableStyleElement type="headerRow" dxfId="16"/>
      <tableStyleElement type="totalRow" dxfId="15"/>
      <tableStyleElement type="firstRowStripe" dxfId="14"/>
      <tableStyleElement type="secondRowStripe" dxfId="13"/>
    </tableStyle>
    <tableStyle name="6. 참여율-style" pivot="0" count="4" xr9:uid="{00000000-0011-0000-FFFF-FFFF03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사업_수행_실적" displayName="사업_수행_실적" ref="A1:I128" totalsRowCount="1">
  <autoFilter ref="A1:I127" xr:uid="{00000000-0009-0000-0100-000003000000}"/>
  <tableColumns count="9">
    <tableColumn id="1" xr3:uid="{00000000-0010-0000-0000-000001000000}" name="사업번호" totalsRowDxfId="8"/>
    <tableColumn id="2" xr3:uid="{00000000-0010-0000-0000-000002000000}" name="분야" totalsRowDxfId="7"/>
    <tableColumn id="3" xr3:uid="{00000000-0010-0000-0000-000003000000}" name="영역" totalsRowDxfId="6"/>
    <tableColumn id="4" xr3:uid="{00000000-0010-0000-0000-000004000000}" name="사업(용역)명" totalsRowDxfId="5"/>
    <tableColumn id="5" xr3:uid="{00000000-0010-0000-0000-000005000000}" name="발주처" totalsRowDxfId="4"/>
    <tableColumn id="6" xr3:uid="{00000000-0010-0000-0000-000006000000}" name="사업시작" totalsRowDxfId="3"/>
    <tableColumn id="7" xr3:uid="{00000000-0010-0000-0000-000007000000}" name="사업종료" totalsRowDxfId="2"/>
    <tableColumn id="8" xr3:uid="{00000000-0010-0000-0000-000008000000}" name="사업 기간(연월)" totalsRowDxfId="1"/>
    <tableColumn id="9" xr3:uid="{00000000-0010-0000-0000-000009000000}" name="금액" totalsRowFunction="custom" totalsRowDxfId="0">
      <totalsRowFormula>SUM(사업_수행_실적[금액])</totalsRowFormula>
    </tableColumn>
  </tableColumns>
  <tableStyleInfo name="2. 사업 명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28"/>
  <sheetViews>
    <sheetView tabSelected="1" workbookViewId="0">
      <pane ySplit="1" topLeftCell="A64" activePane="bottomLeft" state="frozen"/>
      <selection pane="bottomLeft" activeCell="E73" sqref="E73"/>
    </sheetView>
  </sheetViews>
  <sheetFormatPr defaultColWidth="12.5703125" defaultRowHeight="15.75" customHeight="1"/>
  <cols>
    <col min="1" max="1" width="11.5703125" customWidth="1"/>
    <col min="2" max="2" width="18.85546875" customWidth="1"/>
    <col min="3" max="3" width="20.7109375" customWidth="1"/>
    <col min="4" max="4" width="52.28515625" customWidth="1"/>
    <col min="5" max="5" width="31.85546875" customWidth="1"/>
    <col min="6" max="7" width="14.85546875" customWidth="1"/>
    <col min="8" max="8" width="16.28515625" customWidth="1"/>
    <col min="9" max="9" width="13.85546875" customWidth="1"/>
  </cols>
  <sheetData>
    <row r="1" spans="1:9" ht="22.5" customHeight="1">
      <c r="A1" s="2" t="s">
        <v>17</v>
      </c>
      <c r="B1" s="2" t="s">
        <v>0</v>
      </c>
      <c r="C1" s="2" t="s">
        <v>1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 ht="22.5" customHeight="1">
      <c r="A2" s="1"/>
      <c r="B2" s="1" t="s">
        <v>10</v>
      </c>
      <c r="C2" s="1" t="s">
        <v>9</v>
      </c>
      <c r="D2" s="2" t="s">
        <v>24</v>
      </c>
      <c r="E2" s="2" t="s">
        <v>25</v>
      </c>
      <c r="F2" s="4">
        <v>46225</v>
      </c>
      <c r="G2" s="4">
        <v>46371</v>
      </c>
      <c r="H2" s="5" t="str">
        <f t="shared" ref="H2:H127" si="0">TEXT(F2, "yy.mm") &amp; "~" &amp; TEXT(G2, "yy.mm")</f>
        <v>26.07~26.12</v>
      </c>
      <c r="I2" s="3">
        <v>38800000</v>
      </c>
    </row>
    <row r="3" spans="1:9" ht="22.5" customHeight="1">
      <c r="A3" s="1"/>
      <c r="B3" s="1" t="s">
        <v>15</v>
      </c>
      <c r="C3" s="1" t="s">
        <v>3</v>
      </c>
      <c r="D3" s="2" t="s">
        <v>26</v>
      </c>
      <c r="E3" s="2" t="s">
        <v>27</v>
      </c>
      <c r="F3" s="4">
        <v>46224</v>
      </c>
      <c r="G3" s="4">
        <v>46325</v>
      </c>
      <c r="H3" s="5" t="str">
        <f t="shared" si="0"/>
        <v>26.07~26.10</v>
      </c>
      <c r="I3" s="3">
        <v>55800000</v>
      </c>
    </row>
    <row r="4" spans="1:9" ht="22.5" customHeight="1">
      <c r="A4" s="1"/>
      <c r="B4" s="1" t="s">
        <v>4</v>
      </c>
      <c r="C4" s="1" t="s">
        <v>3</v>
      </c>
      <c r="D4" s="2" t="s">
        <v>28</v>
      </c>
      <c r="E4" s="2" t="s">
        <v>29</v>
      </c>
      <c r="F4" s="4">
        <v>46223</v>
      </c>
      <c r="G4" s="4">
        <v>46374</v>
      </c>
      <c r="H4" s="5" t="str">
        <f t="shared" si="0"/>
        <v>26.07~26.12</v>
      </c>
      <c r="I4" s="3">
        <v>74400000</v>
      </c>
    </row>
    <row r="5" spans="1:9" ht="22.5" customHeight="1">
      <c r="A5" s="1"/>
      <c r="B5" s="1" t="s">
        <v>8</v>
      </c>
      <c r="C5" s="1" t="s">
        <v>3</v>
      </c>
      <c r="D5" s="2" t="s">
        <v>30</v>
      </c>
      <c r="E5" s="2" t="s">
        <v>31</v>
      </c>
      <c r="F5" s="4">
        <v>46171</v>
      </c>
      <c r="G5" s="4">
        <v>46320</v>
      </c>
      <c r="H5" s="5" t="str">
        <f t="shared" si="0"/>
        <v>26.05~26.10</v>
      </c>
      <c r="I5" s="3">
        <v>33600000</v>
      </c>
    </row>
    <row r="6" spans="1:9" ht="22.5" customHeight="1">
      <c r="A6" s="1"/>
      <c r="B6" s="1" t="s">
        <v>6</v>
      </c>
      <c r="C6" s="1" t="s">
        <v>9</v>
      </c>
      <c r="D6" s="2" t="s">
        <v>32</v>
      </c>
      <c r="E6" s="2" t="s">
        <v>27</v>
      </c>
      <c r="F6" s="4">
        <v>46226</v>
      </c>
      <c r="G6" s="4">
        <v>46255</v>
      </c>
      <c r="H6" s="5" t="str">
        <f t="shared" si="0"/>
        <v>26.07~26.08</v>
      </c>
      <c r="I6" s="3">
        <v>9500000</v>
      </c>
    </row>
    <row r="7" spans="1:9" ht="22.5" customHeight="1">
      <c r="A7" s="1"/>
      <c r="B7" s="1" t="s">
        <v>6</v>
      </c>
      <c r="C7" s="1" t="s">
        <v>9</v>
      </c>
      <c r="D7" s="2" t="s">
        <v>33</v>
      </c>
      <c r="E7" s="2" t="s">
        <v>27</v>
      </c>
      <c r="F7" s="4">
        <v>46175</v>
      </c>
      <c r="G7" s="4">
        <v>46237</v>
      </c>
      <c r="H7" s="5" t="str">
        <f t="shared" si="0"/>
        <v>26.06~26.08</v>
      </c>
      <c r="I7" s="3">
        <v>19800000</v>
      </c>
    </row>
    <row r="8" spans="1:9" ht="22.5" customHeight="1">
      <c r="A8" s="1"/>
      <c r="B8" s="1" t="s">
        <v>10</v>
      </c>
      <c r="C8" s="1" t="s">
        <v>13</v>
      </c>
      <c r="D8" s="2" t="s">
        <v>34</v>
      </c>
      <c r="E8" s="2" t="s">
        <v>27</v>
      </c>
      <c r="F8" s="4">
        <v>46129</v>
      </c>
      <c r="G8" s="4">
        <v>46372</v>
      </c>
      <c r="H8" s="5" t="str">
        <f t="shared" si="0"/>
        <v>26.04~26.12</v>
      </c>
      <c r="I8" s="3">
        <v>60000000</v>
      </c>
    </row>
    <row r="9" spans="1:9" ht="22.5" customHeight="1">
      <c r="A9" s="1"/>
      <c r="B9" s="1" t="s">
        <v>2</v>
      </c>
      <c r="C9" s="1" t="s">
        <v>3</v>
      </c>
      <c r="D9" s="2" t="s">
        <v>35</v>
      </c>
      <c r="E9" s="2" t="s">
        <v>36</v>
      </c>
      <c r="F9" s="4">
        <v>46038</v>
      </c>
      <c r="G9" s="4">
        <v>46129</v>
      </c>
      <c r="H9" s="5" t="str">
        <f t="shared" si="0"/>
        <v>26.01~26.04</v>
      </c>
      <c r="I9" s="3">
        <v>60000000</v>
      </c>
    </row>
    <row r="10" spans="1:9" ht="22.5" customHeight="1">
      <c r="A10" s="1"/>
      <c r="B10" s="1" t="s">
        <v>10</v>
      </c>
      <c r="C10" s="1" t="s">
        <v>3</v>
      </c>
      <c r="D10" s="2" t="s">
        <v>37</v>
      </c>
      <c r="E10" s="2" t="s">
        <v>38</v>
      </c>
      <c r="F10" s="4">
        <v>45962</v>
      </c>
      <c r="G10" s="4">
        <v>45992</v>
      </c>
      <c r="H10" s="5" t="str">
        <f t="shared" si="0"/>
        <v>25.11~25.12</v>
      </c>
      <c r="I10" s="3">
        <v>35000000</v>
      </c>
    </row>
    <row r="11" spans="1:9" ht="22.5" customHeight="1">
      <c r="A11" s="1"/>
      <c r="B11" s="1" t="s">
        <v>2</v>
      </c>
      <c r="C11" s="1" t="s">
        <v>3</v>
      </c>
      <c r="D11" s="2" t="s">
        <v>39</v>
      </c>
      <c r="E11" s="2" t="s">
        <v>40</v>
      </c>
      <c r="F11" s="4">
        <v>45962</v>
      </c>
      <c r="G11" s="4">
        <v>45992</v>
      </c>
      <c r="H11" s="5" t="str">
        <f t="shared" si="0"/>
        <v>25.11~25.12</v>
      </c>
      <c r="I11" s="3">
        <v>5500000</v>
      </c>
    </row>
    <row r="12" spans="1:9" ht="22.5" customHeight="1">
      <c r="A12" s="1"/>
      <c r="B12" s="1" t="s">
        <v>4</v>
      </c>
      <c r="C12" s="1" t="s">
        <v>13</v>
      </c>
      <c r="D12" s="2" t="s">
        <v>41</v>
      </c>
      <c r="E12" s="2" t="s">
        <v>42</v>
      </c>
      <c r="F12" s="4">
        <v>45962</v>
      </c>
      <c r="G12" s="4">
        <v>45992</v>
      </c>
      <c r="H12" s="5" t="str">
        <f t="shared" si="0"/>
        <v>25.11~25.12</v>
      </c>
      <c r="I12" s="3">
        <v>4980000</v>
      </c>
    </row>
    <row r="13" spans="1:9" ht="22.5" customHeight="1">
      <c r="A13" s="1"/>
      <c r="B13" s="1" t="s">
        <v>2</v>
      </c>
      <c r="C13" s="1" t="s">
        <v>13</v>
      </c>
      <c r="D13" s="2" t="s">
        <v>43</v>
      </c>
      <c r="E13" s="2" t="s">
        <v>44</v>
      </c>
      <c r="F13" s="4">
        <v>45962</v>
      </c>
      <c r="G13" s="4">
        <v>45992</v>
      </c>
      <c r="H13" s="5" t="str">
        <f t="shared" si="0"/>
        <v>25.11~25.12</v>
      </c>
      <c r="I13" s="3">
        <v>20000000</v>
      </c>
    </row>
    <row r="14" spans="1:9" ht="22.5" customHeight="1">
      <c r="A14" s="1"/>
      <c r="B14" s="1" t="s">
        <v>14</v>
      </c>
      <c r="C14" s="1" t="s">
        <v>3</v>
      </c>
      <c r="D14" s="2" t="s">
        <v>45</v>
      </c>
      <c r="E14" s="2" t="s">
        <v>46</v>
      </c>
      <c r="F14" s="4">
        <v>45950</v>
      </c>
      <c r="G14" s="4">
        <v>46010</v>
      </c>
      <c r="H14" s="5" t="str">
        <f t="shared" si="0"/>
        <v>25.10~25.12</v>
      </c>
      <c r="I14" s="3">
        <v>18000000</v>
      </c>
    </row>
    <row r="15" spans="1:9" ht="22.5" customHeight="1">
      <c r="A15" s="1"/>
      <c r="B15" s="1" t="s">
        <v>15</v>
      </c>
      <c r="C15" s="1" t="s">
        <v>9</v>
      </c>
      <c r="D15" s="2" t="s">
        <v>47</v>
      </c>
      <c r="E15" s="2" t="s">
        <v>48</v>
      </c>
      <c r="F15" s="4">
        <v>45901</v>
      </c>
      <c r="G15" s="4">
        <v>46173</v>
      </c>
      <c r="H15" s="5" t="str">
        <f t="shared" si="0"/>
        <v>25.09~26.05</v>
      </c>
      <c r="I15" s="3">
        <v>70000000</v>
      </c>
    </row>
    <row r="16" spans="1:9" ht="22.5" customHeight="1">
      <c r="A16" s="1"/>
      <c r="B16" s="1" t="s">
        <v>8</v>
      </c>
      <c r="C16" s="1" t="s">
        <v>7</v>
      </c>
      <c r="D16" s="2" t="s">
        <v>49</v>
      </c>
      <c r="E16" s="2" t="s">
        <v>50</v>
      </c>
      <c r="F16" s="4">
        <v>45901</v>
      </c>
      <c r="G16" s="4">
        <v>45962</v>
      </c>
      <c r="H16" s="5" t="str">
        <f t="shared" si="0"/>
        <v>25.09~25.11</v>
      </c>
      <c r="I16" s="3">
        <v>11000000</v>
      </c>
    </row>
    <row r="17" spans="1:9" ht="22.5" customHeight="1">
      <c r="A17" s="1"/>
      <c r="B17" s="1" t="s">
        <v>16</v>
      </c>
      <c r="C17" s="1" t="s">
        <v>5</v>
      </c>
      <c r="D17" s="2" t="s">
        <v>51</v>
      </c>
      <c r="E17" s="2" t="s">
        <v>52</v>
      </c>
      <c r="F17" s="4">
        <v>45895</v>
      </c>
      <c r="G17" s="4">
        <v>45926</v>
      </c>
      <c r="H17" s="5" t="str">
        <f t="shared" si="0"/>
        <v>25.08~25.09</v>
      </c>
      <c r="I17" s="3">
        <v>17000000</v>
      </c>
    </row>
    <row r="18" spans="1:9" ht="22.5" customHeight="1">
      <c r="A18" s="1"/>
      <c r="B18" s="1" t="s">
        <v>14</v>
      </c>
      <c r="C18" s="1" t="s">
        <v>3</v>
      </c>
      <c r="D18" s="2" t="s">
        <v>53</v>
      </c>
      <c r="E18" s="2" t="s">
        <v>54</v>
      </c>
      <c r="F18" s="4">
        <v>45870</v>
      </c>
      <c r="G18" s="4">
        <v>45962</v>
      </c>
      <c r="H18" s="5" t="str">
        <f t="shared" si="0"/>
        <v>25.08~25.11</v>
      </c>
      <c r="I18" s="3">
        <v>10000000</v>
      </c>
    </row>
    <row r="19" spans="1:9" ht="22.5" customHeight="1">
      <c r="A19" s="1"/>
      <c r="B19" s="1" t="s">
        <v>4</v>
      </c>
      <c r="C19" s="1" t="s">
        <v>5</v>
      </c>
      <c r="D19" s="2" t="s">
        <v>55</v>
      </c>
      <c r="E19" s="2" t="s">
        <v>56</v>
      </c>
      <c r="F19" s="4">
        <v>45870</v>
      </c>
      <c r="G19" s="4">
        <v>45901</v>
      </c>
      <c r="H19" s="5" t="str">
        <f t="shared" si="0"/>
        <v>25.08~25.09</v>
      </c>
      <c r="I19" s="3">
        <v>9850000</v>
      </c>
    </row>
    <row r="20" spans="1:9" ht="22.5" customHeight="1">
      <c r="A20" s="1"/>
      <c r="B20" s="1" t="s">
        <v>12</v>
      </c>
      <c r="C20" s="1" t="s">
        <v>5</v>
      </c>
      <c r="D20" s="2" t="s">
        <v>57</v>
      </c>
      <c r="E20" s="2" t="s">
        <v>58</v>
      </c>
      <c r="F20" s="4">
        <v>45870</v>
      </c>
      <c r="G20" s="4">
        <v>45658</v>
      </c>
      <c r="H20" s="5" t="str">
        <f t="shared" si="0"/>
        <v>25.08~25.01</v>
      </c>
      <c r="I20" s="3">
        <v>22000000</v>
      </c>
    </row>
    <row r="21" spans="1:9" ht="22.5" customHeight="1">
      <c r="A21" s="1"/>
      <c r="B21" s="1" t="s">
        <v>6</v>
      </c>
      <c r="C21" s="1" t="s">
        <v>13</v>
      </c>
      <c r="D21" s="2" t="s">
        <v>59</v>
      </c>
      <c r="E21" s="2" t="s">
        <v>27</v>
      </c>
      <c r="F21" s="4">
        <v>45870</v>
      </c>
      <c r="G21" s="4">
        <v>45658</v>
      </c>
      <c r="H21" s="5" t="str">
        <f t="shared" si="0"/>
        <v>25.08~25.01</v>
      </c>
      <c r="I21" s="3">
        <v>19500000</v>
      </c>
    </row>
    <row r="22" spans="1:9" ht="22.5" customHeight="1">
      <c r="A22" s="1"/>
      <c r="B22" s="1" t="s">
        <v>14</v>
      </c>
      <c r="C22" s="1" t="s">
        <v>11</v>
      </c>
      <c r="D22" s="2" t="s">
        <v>60</v>
      </c>
      <c r="E22" s="2" t="s">
        <v>31</v>
      </c>
      <c r="F22" s="4">
        <v>45853</v>
      </c>
      <c r="G22" s="4">
        <v>46006</v>
      </c>
      <c r="H22" s="5" t="str">
        <f t="shared" si="0"/>
        <v>25.07~25.12</v>
      </c>
      <c r="I22" s="3">
        <v>31800000</v>
      </c>
    </row>
    <row r="23" spans="1:9" ht="22.5" customHeight="1">
      <c r="A23" s="1"/>
      <c r="B23" s="1" t="s">
        <v>6</v>
      </c>
      <c r="C23" s="1" t="s">
        <v>9</v>
      </c>
      <c r="D23" s="2" t="s">
        <v>61</v>
      </c>
      <c r="E23" s="2" t="s">
        <v>56</v>
      </c>
      <c r="F23" s="4">
        <v>45847</v>
      </c>
      <c r="G23" s="4">
        <v>45989</v>
      </c>
      <c r="H23" s="5" t="str">
        <f t="shared" si="0"/>
        <v>25.07~25.11</v>
      </c>
      <c r="I23" s="3">
        <v>55000000</v>
      </c>
    </row>
    <row r="24" spans="1:9" ht="22.5" customHeight="1">
      <c r="A24" s="1"/>
      <c r="B24" s="1" t="s">
        <v>10</v>
      </c>
      <c r="C24" s="1" t="s">
        <v>3</v>
      </c>
      <c r="D24" s="2" t="s">
        <v>62</v>
      </c>
      <c r="E24" s="2" t="s">
        <v>63</v>
      </c>
      <c r="F24" s="4">
        <v>45835</v>
      </c>
      <c r="G24" s="4">
        <v>46014</v>
      </c>
      <c r="H24" s="5" t="str">
        <f t="shared" si="0"/>
        <v>25.06~25.12</v>
      </c>
      <c r="I24" s="3">
        <v>49700000</v>
      </c>
    </row>
    <row r="25" spans="1:9" ht="22.5" customHeight="1">
      <c r="A25" s="1"/>
      <c r="B25" s="1" t="s">
        <v>2</v>
      </c>
      <c r="C25" s="1" t="s">
        <v>11</v>
      </c>
      <c r="D25" s="2" t="s">
        <v>64</v>
      </c>
      <c r="E25" s="2" t="s">
        <v>65</v>
      </c>
      <c r="F25" s="4">
        <v>45828</v>
      </c>
      <c r="G25" s="4">
        <v>45983</v>
      </c>
      <c r="H25" s="5" t="str">
        <f t="shared" si="0"/>
        <v>25.06~25.11</v>
      </c>
      <c r="I25" s="3">
        <v>40000000</v>
      </c>
    </row>
    <row r="26" spans="1:9" ht="22.5" customHeight="1">
      <c r="A26" s="1"/>
      <c r="B26" s="1" t="s">
        <v>10</v>
      </c>
      <c r="C26" s="1" t="s">
        <v>3</v>
      </c>
      <c r="D26" s="2" t="s">
        <v>66</v>
      </c>
      <c r="E26" s="2" t="s">
        <v>25</v>
      </c>
      <c r="F26" s="4">
        <v>45825</v>
      </c>
      <c r="G26" s="4">
        <v>45975</v>
      </c>
      <c r="H26" s="5" t="str">
        <f t="shared" si="0"/>
        <v>25.06~25.11</v>
      </c>
      <c r="I26" s="3">
        <v>38000000</v>
      </c>
    </row>
    <row r="27" spans="1:9" ht="22.5" customHeight="1">
      <c r="A27" s="1"/>
      <c r="B27" s="1" t="s">
        <v>10</v>
      </c>
      <c r="C27" s="1" t="s">
        <v>13</v>
      </c>
      <c r="D27" s="2" t="s">
        <v>34</v>
      </c>
      <c r="E27" s="2" t="s">
        <v>27</v>
      </c>
      <c r="F27" s="4">
        <v>45817</v>
      </c>
      <c r="G27" s="4">
        <v>46006</v>
      </c>
      <c r="H27" s="5" t="str">
        <f t="shared" si="0"/>
        <v>25.06~25.12</v>
      </c>
      <c r="I27" s="3">
        <v>59400000</v>
      </c>
    </row>
    <row r="28" spans="1:9" ht="22.5" customHeight="1">
      <c r="A28" s="1"/>
      <c r="B28" s="1" t="s">
        <v>2</v>
      </c>
      <c r="C28" s="1" t="s">
        <v>9</v>
      </c>
      <c r="D28" s="2" t="s">
        <v>67</v>
      </c>
      <c r="E28" s="2" t="s">
        <v>48</v>
      </c>
      <c r="F28" s="4">
        <v>45809</v>
      </c>
      <c r="G28" s="4">
        <v>46112</v>
      </c>
      <c r="H28" s="5" t="str">
        <f t="shared" si="0"/>
        <v>25.06~26.03</v>
      </c>
      <c r="I28" s="3">
        <v>30000000</v>
      </c>
    </row>
    <row r="29" spans="1:9" ht="22.5" customHeight="1">
      <c r="A29" s="1"/>
      <c r="B29" s="1" t="s">
        <v>6</v>
      </c>
      <c r="C29" s="1" t="s">
        <v>11</v>
      </c>
      <c r="D29" s="2" t="s">
        <v>68</v>
      </c>
      <c r="E29" s="2" t="s">
        <v>31</v>
      </c>
      <c r="F29" s="4">
        <v>45809</v>
      </c>
      <c r="G29" s="4">
        <v>45992</v>
      </c>
      <c r="H29" s="5" t="str">
        <f t="shared" si="0"/>
        <v>25.06~25.12</v>
      </c>
      <c r="I29" s="3">
        <v>10000000</v>
      </c>
    </row>
    <row r="30" spans="1:9" ht="22.5" customHeight="1">
      <c r="A30" s="1"/>
      <c r="B30" s="1" t="s">
        <v>4</v>
      </c>
      <c r="C30" s="1" t="s">
        <v>11</v>
      </c>
      <c r="D30" s="2" t="s">
        <v>69</v>
      </c>
      <c r="E30" s="2" t="s">
        <v>70</v>
      </c>
      <c r="F30" s="4">
        <v>45809</v>
      </c>
      <c r="G30" s="4">
        <v>45809</v>
      </c>
      <c r="H30" s="5" t="str">
        <f t="shared" si="0"/>
        <v>25.06~25.06</v>
      </c>
      <c r="I30" s="3">
        <v>1650000</v>
      </c>
    </row>
    <row r="31" spans="1:9" ht="22.5" customHeight="1">
      <c r="A31" s="1"/>
      <c r="B31" s="1" t="s">
        <v>2</v>
      </c>
      <c r="C31" s="1" t="s">
        <v>11</v>
      </c>
      <c r="D31" s="2" t="s">
        <v>71</v>
      </c>
      <c r="E31" s="2" t="s">
        <v>27</v>
      </c>
      <c r="F31" s="4">
        <v>45803</v>
      </c>
      <c r="G31" s="4">
        <v>45983</v>
      </c>
      <c r="H31" s="5" t="str">
        <f t="shared" si="0"/>
        <v>25.05~25.11</v>
      </c>
      <c r="I31" s="3">
        <v>44015840</v>
      </c>
    </row>
    <row r="32" spans="1:9" ht="22.5" customHeight="1">
      <c r="A32" s="1"/>
      <c r="B32" s="1" t="s">
        <v>8</v>
      </c>
      <c r="C32" s="1" t="s">
        <v>13</v>
      </c>
      <c r="D32" s="2" t="s">
        <v>72</v>
      </c>
      <c r="E32" s="2" t="s">
        <v>73</v>
      </c>
      <c r="F32" s="4">
        <v>45778</v>
      </c>
      <c r="G32" s="4">
        <v>45778</v>
      </c>
      <c r="H32" s="5" t="str">
        <f t="shared" si="0"/>
        <v>25.05~25.05</v>
      </c>
      <c r="I32" s="3">
        <v>11550000.000000002</v>
      </c>
    </row>
    <row r="33" spans="1:9" ht="22.5" customHeight="1">
      <c r="A33" s="1"/>
      <c r="B33" s="1" t="s">
        <v>6</v>
      </c>
      <c r="C33" s="1" t="s">
        <v>5</v>
      </c>
      <c r="D33" s="2" t="s">
        <v>74</v>
      </c>
      <c r="E33" s="2" t="s">
        <v>75</v>
      </c>
      <c r="F33" s="4">
        <v>45720</v>
      </c>
      <c r="G33" s="4">
        <v>45807</v>
      </c>
      <c r="H33" s="5" t="str">
        <f t="shared" si="0"/>
        <v>25.03~25.05</v>
      </c>
      <c r="I33" s="3">
        <v>16500000</v>
      </c>
    </row>
    <row r="34" spans="1:9" ht="22.5" customHeight="1">
      <c r="A34" s="1"/>
      <c r="B34" s="1" t="s">
        <v>10</v>
      </c>
      <c r="C34" s="1" t="s">
        <v>3</v>
      </c>
      <c r="D34" s="2" t="s">
        <v>76</v>
      </c>
      <c r="E34" s="2" t="s">
        <v>25</v>
      </c>
      <c r="F34" s="4">
        <v>45715</v>
      </c>
      <c r="G34" s="4">
        <v>45832</v>
      </c>
      <c r="H34" s="5" t="str">
        <f t="shared" si="0"/>
        <v>25.02~25.06</v>
      </c>
      <c r="I34" s="3">
        <v>22000000</v>
      </c>
    </row>
    <row r="35" spans="1:9" ht="22.5" customHeight="1">
      <c r="A35" s="1"/>
      <c r="B35" s="1" t="s">
        <v>14</v>
      </c>
      <c r="C35" s="1" t="s">
        <v>13</v>
      </c>
      <c r="D35" s="2" t="s">
        <v>77</v>
      </c>
      <c r="E35" s="2" t="s">
        <v>78</v>
      </c>
      <c r="F35" s="4">
        <v>45702</v>
      </c>
      <c r="G35" s="4">
        <v>45777</v>
      </c>
      <c r="H35" s="5" t="str">
        <f t="shared" si="0"/>
        <v>25.02~25.04</v>
      </c>
      <c r="I35" s="3">
        <v>19800000</v>
      </c>
    </row>
    <row r="36" spans="1:9" ht="22.5" customHeight="1">
      <c r="A36" s="1"/>
      <c r="B36" s="1" t="s">
        <v>14</v>
      </c>
      <c r="C36" s="1" t="s">
        <v>3</v>
      </c>
      <c r="D36" s="2" t="s">
        <v>79</v>
      </c>
      <c r="E36" s="2" t="s">
        <v>40</v>
      </c>
      <c r="F36" s="4">
        <v>45658</v>
      </c>
      <c r="G36" s="4">
        <v>45992</v>
      </c>
      <c r="H36" s="5" t="str">
        <f t="shared" si="0"/>
        <v>25.01~25.12</v>
      </c>
      <c r="I36" s="3">
        <v>11000000</v>
      </c>
    </row>
    <row r="37" spans="1:9" ht="22.5" customHeight="1">
      <c r="A37" s="1"/>
      <c r="B37" s="1" t="s">
        <v>10</v>
      </c>
      <c r="C37" s="1" t="s">
        <v>7</v>
      </c>
      <c r="D37" s="2" t="s">
        <v>80</v>
      </c>
      <c r="E37" s="2" t="s">
        <v>81</v>
      </c>
      <c r="F37" s="4">
        <v>45658</v>
      </c>
      <c r="G37" s="4">
        <v>45658</v>
      </c>
      <c r="H37" s="5" t="str">
        <f t="shared" si="0"/>
        <v>25.01~25.01</v>
      </c>
      <c r="I37" s="3">
        <v>12000000</v>
      </c>
    </row>
    <row r="38" spans="1:9" ht="22.5" customHeight="1">
      <c r="A38" s="1"/>
      <c r="B38" s="1" t="s">
        <v>10</v>
      </c>
      <c r="C38" s="1" t="s">
        <v>5</v>
      </c>
      <c r="D38" s="2" t="s">
        <v>82</v>
      </c>
      <c r="E38" s="2" t="s">
        <v>83</v>
      </c>
      <c r="F38" s="4">
        <v>45643</v>
      </c>
      <c r="G38" s="4">
        <v>45326</v>
      </c>
      <c r="H38" s="5" t="str">
        <f t="shared" si="0"/>
        <v>24.12~24.02</v>
      </c>
      <c r="I38" s="3">
        <v>10000000</v>
      </c>
    </row>
    <row r="39" spans="1:9" ht="22.5" customHeight="1">
      <c r="A39" s="1"/>
      <c r="B39" s="1" t="s">
        <v>14</v>
      </c>
      <c r="C39" s="1" t="s">
        <v>7</v>
      </c>
      <c r="D39" s="2" t="s">
        <v>84</v>
      </c>
      <c r="E39" s="2" t="s">
        <v>85</v>
      </c>
      <c r="F39" s="4">
        <v>45627</v>
      </c>
      <c r="G39" s="4">
        <v>45658</v>
      </c>
      <c r="H39" s="5" t="str">
        <f t="shared" si="0"/>
        <v>24.12~25.01</v>
      </c>
      <c r="I39" s="3">
        <v>11000000</v>
      </c>
    </row>
    <row r="40" spans="1:9" ht="22.5" customHeight="1">
      <c r="A40" s="1"/>
      <c r="B40" s="1" t="s">
        <v>14</v>
      </c>
      <c r="C40" s="1" t="s">
        <v>3</v>
      </c>
      <c r="D40" s="2" t="s">
        <v>86</v>
      </c>
      <c r="E40" s="2" t="s">
        <v>27</v>
      </c>
      <c r="F40" s="4">
        <v>45618</v>
      </c>
      <c r="G40" s="4">
        <v>45647</v>
      </c>
      <c r="H40" s="5" t="str">
        <f t="shared" si="0"/>
        <v>24.11~24.12</v>
      </c>
      <c r="I40" s="3">
        <v>19800000</v>
      </c>
    </row>
    <row r="41" spans="1:9" ht="22.5" customHeight="1">
      <c r="A41" s="1"/>
      <c r="B41" s="1" t="s">
        <v>4</v>
      </c>
      <c r="C41" s="1" t="s">
        <v>11</v>
      </c>
      <c r="D41" s="2" t="s">
        <v>87</v>
      </c>
      <c r="E41" s="2" t="s">
        <v>88</v>
      </c>
      <c r="F41" s="4">
        <v>45616</v>
      </c>
      <c r="G41" s="4">
        <v>45653</v>
      </c>
      <c r="H41" s="5" t="str">
        <f t="shared" si="0"/>
        <v>24.11~24.12</v>
      </c>
      <c r="I41" s="3">
        <v>19800000</v>
      </c>
    </row>
    <row r="42" spans="1:9" ht="27">
      <c r="A42" s="1"/>
      <c r="B42" s="1" t="s">
        <v>14</v>
      </c>
      <c r="C42" s="1" t="s">
        <v>3</v>
      </c>
      <c r="D42" s="6" t="s">
        <v>212</v>
      </c>
      <c r="E42" s="2" t="s">
        <v>89</v>
      </c>
      <c r="F42" s="4">
        <v>45597</v>
      </c>
      <c r="G42" s="4">
        <v>45716</v>
      </c>
      <c r="H42" s="5" t="str">
        <f t="shared" si="0"/>
        <v>24.11~25.02</v>
      </c>
      <c r="I42" s="3">
        <v>18150000</v>
      </c>
    </row>
    <row r="43" spans="1:9" ht="22.5" customHeight="1">
      <c r="A43" s="1"/>
      <c r="B43" s="1" t="s">
        <v>6</v>
      </c>
      <c r="C43" s="1" t="s">
        <v>5</v>
      </c>
      <c r="D43" s="2" t="s">
        <v>90</v>
      </c>
      <c r="E43" s="2" t="s">
        <v>91</v>
      </c>
      <c r="F43" s="4">
        <v>45597</v>
      </c>
      <c r="G43" s="4">
        <v>45627</v>
      </c>
      <c r="H43" s="5" t="str">
        <f t="shared" si="0"/>
        <v>24.11~24.12</v>
      </c>
      <c r="I43" s="3">
        <v>10000000</v>
      </c>
    </row>
    <row r="44" spans="1:9" ht="22.5" customHeight="1">
      <c r="A44" s="1"/>
      <c r="B44" s="1" t="s">
        <v>4</v>
      </c>
      <c r="C44" s="1" t="s">
        <v>5</v>
      </c>
      <c r="D44" s="2" t="s">
        <v>92</v>
      </c>
      <c r="E44" s="2" t="s">
        <v>93</v>
      </c>
      <c r="F44" s="4">
        <v>45576</v>
      </c>
      <c r="G44" s="4">
        <v>45641</v>
      </c>
      <c r="H44" s="5" t="str">
        <f t="shared" si="0"/>
        <v>24.10~24.12</v>
      </c>
      <c r="I44" s="3">
        <v>80000000</v>
      </c>
    </row>
    <row r="45" spans="1:9" ht="22.5" customHeight="1">
      <c r="A45" s="1"/>
      <c r="B45" s="1" t="s">
        <v>4</v>
      </c>
      <c r="C45" s="1" t="s">
        <v>5</v>
      </c>
      <c r="D45" s="2" t="s">
        <v>94</v>
      </c>
      <c r="E45" s="2" t="s">
        <v>95</v>
      </c>
      <c r="F45" s="4">
        <v>45562</v>
      </c>
      <c r="G45" s="4">
        <v>45643</v>
      </c>
      <c r="H45" s="5" t="str">
        <f t="shared" si="0"/>
        <v>24.09~24.12</v>
      </c>
      <c r="I45" s="3">
        <v>84000000</v>
      </c>
    </row>
    <row r="46" spans="1:9" ht="22.5" customHeight="1">
      <c r="A46" s="1"/>
      <c r="B46" s="1" t="s">
        <v>12</v>
      </c>
      <c r="C46" s="1" t="s">
        <v>3</v>
      </c>
      <c r="D46" s="2" t="s">
        <v>96</v>
      </c>
      <c r="E46" s="2" t="s">
        <v>97</v>
      </c>
      <c r="F46" s="4">
        <v>45561</v>
      </c>
      <c r="G46" s="4">
        <v>45642</v>
      </c>
      <c r="H46" s="5" t="str">
        <f t="shared" si="0"/>
        <v>24.09~24.12</v>
      </c>
      <c r="I46" s="3">
        <v>34300000</v>
      </c>
    </row>
    <row r="47" spans="1:9" ht="22.5" customHeight="1">
      <c r="A47" s="1"/>
      <c r="B47" s="1" t="s">
        <v>2</v>
      </c>
      <c r="C47" s="1" t="s">
        <v>9</v>
      </c>
      <c r="D47" s="2" t="s">
        <v>98</v>
      </c>
      <c r="E47" s="2" t="s">
        <v>48</v>
      </c>
      <c r="F47" s="4">
        <v>45536</v>
      </c>
      <c r="G47" s="4">
        <v>45778</v>
      </c>
      <c r="H47" s="5" t="str">
        <f t="shared" si="0"/>
        <v>24.09~25.05</v>
      </c>
      <c r="I47" s="3">
        <v>74630000</v>
      </c>
    </row>
    <row r="48" spans="1:9" ht="22.5" customHeight="1">
      <c r="A48" s="1"/>
      <c r="B48" s="1" t="s">
        <v>14</v>
      </c>
      <c r="C48" s="1" t="s">
        <v>3</v>
      </c>
      <c r="D48" s="2" t="s">
        <v>99</v>
      </c>
      <c r="E48" s="2" t="s">
        <v>100</v>
      </c>
      <c r="F48" s="4">
        <v>45520</v>
      </c>
      <c r="G48" s="4">
        <v>45611</v>
      </c>
      <c r="H48" s="5" t="str">
        <f t="shared" si="0"/>
        <v>24.08~24.11</v>
      </c>
      <c r="I48" s="3">
        <v>11000000</v>
      </c>
    </row>
    <row r="49" spans="1:9" ht="22.5" customHeight="1">
      <c r="A49" s="1"/>
      <c r="B49" s="1" t="s">
        <v>14</v>
      </c>
      <c r="C49" s="1" t="s">
        <v>13</v>
      </c>
      <c r="D49" s="2" t="s">
        <v>101</v>
      </c>
      <c r="E49" s="2" t="s">
        <v>44</v>
      </c>
      <c r="F49" s="4">
        <v>45474</v>
      </c>
      <c r="G49" s="4">
        <v>45505</v>
      </c>
      <c r="H49" s="5" t="str">
        <f t="shared" si="0"/>
        <v>24.07~24.08</v>
      </c>
      <c r="I49" s="3">
        <v>21800000</v>
      </c>
    </row>
    <row r="50" spans="1:9" ht="22.5" customHeight="1">
      <c r="A50" s="1"/>
      <c r="B50" s="1" t="s">
        <v>14</v>
      </c>
      <c r="C50" s="1" t="s">
        <v>13</v>
      </c>
      <c r="D50" s="2" t="s">
        <v>102</v>
      </c>
      <c r="E50" s="2" t="s">
        <v>103</v>
      </c>
      <c r="F50" s="4">
        <v>45457</v>
      </c>
      <c r="G50" s="4">
        <v>45657</v>
      </c>
      <c r="H50" s="5" t="str">
        <f t="shared" si="0"/>
        <v>24.06~24.12</v>
      </c>
      <c r="I50" s="3">
        <v>88000000</v>
      </c>
    </row>
    <row r="51" spans="1:9" ht="22.5" customHeight="1">
      <c r="A51" s="1"/>
      <c r="B51" s="1" t="s">
        <v>10</v>
      </c>
      <c r="C51" s="1" t="s">
        <v>5</v>
      </c>
      <c r="D51" s="2" t="s">
        <v>104</v>
      </c>
      <c r="E51" s="2" t="s">
        <v>70</v>
      </c>
      <c r="F51" s="4">
        <v>45444</v>
      </c>
      <c r="G51" s="4">
        <v>45626</v>
      </c>
      <c r="H51" s="5" t="str">
        <f t="shared" si="0"/>
        <v>24.06~24.11</v>
      </c>
      <c r="I51" s="3">
        <v>15000000</v>
      </c>
    </row>
    <row r="52" spans="1:9" ht="22.5" customHeight="1">
      <c r="A52" s="1"/>
      <c r="B52" s="1" t="s">
        <v>14</v>
      </c>
      <c r="C52" s="1" t="s">
        <v>9</v>
      </c>
      <c r="D52" s="2" t="s">
        <v>105</v>
      </c>
      <c r="E52" s="2" t="s">
        <v>42</v>
      </c>
      <c r="F52" s="4">
        <v>45444</v>
      </c>
      <c r="G52" s="4">
        <v>45505</v>
      </c>
      <c r="H52" s="5" t="str">
        <f t="shared" si="0"/>
        <v>24.06~24.08</v>
      </c>
      <c r="I52" s="3">
        <v>4950000</v>
      </c>
    </row>
    <row r="53" spans="1:9" ht="22.5" customHeight="1">
      <c r="A53" s="1"/>
      <c r="B53" s="1" t="s">
        <v>14</v>
      </c>
      <c r="C53" s="1" t="s">
        <v>7</v>
      </c>
      <c r="D53" s="2" t="s">
        <v>106</v>
      </c>
      <c r="E53" s="2" t="s">
        <v>42</v>
      </c>
      <c r="F53" s="4">
        <v>45436</v>
      </c>
      <c r="G53" s="4">
        <v>45626</v>
      </c>
      <c r="H53" s="5" t="str">
        <f t="shared" si="0"/>
        <v>24.05~24.11</v>
      </c>
      <c r="I53" s="3">
        <v>98000000</v>
      </c>
    </row>
    <row r="54" spans="1:9" ht="22.5" customHeight="1">
      <c r="A54" s="1"/>
      <c r="B54" s="1" t="s">
        <v>4</v>
      </c>
      <c r="C54" s="1" t="s">
        <v>3</v>
      </c>
      <c r="D54" s="2" t="s">
        <v>107</v>
      </c>
      <c r="E54" s="2" t="s">
        <v>108</v>
      </c>
      <c r="F54" s="4">
        <v>45383</v>
      </c>
      <c r="G54" s="4">
        <v>45626</v>
      </c>
      <c r="H54" s="5" t="str">
        <f t="shared" si="0"/>
        <v>24.04~24.11</v>
      </c>
      <c r="I54" s="3">
        <v>141600000</v>
      </c>
    </row>
    <row r="55" spans="1:9" ht="22.5" customHeight="1">
      <c r="A55" s="1"/>
      <c r="B55" s="1" t="s">
        <v>2</v>
      </c>
      <c r="C55" s="1" t="s">
        <v>5</v>
      </c>
      <c r="D55" s="2" t="s">
        <v>109</v>
      </c>
      <c r="E55" s="2" t="s">
        <v>110</v>
      </c>
      <c r="F55" s="4">
        <v>45383</v>
      </c>
      <c r="G55" s="4">
        <v>45444</v>
      </c>
      <c r="H55" s="5" t="str">
        <f t="shared" si="0"/>
        <v>24.04~24.06</v>
      </c>
      <c r="I55" s="3">
        <v>18500000</v>
      </c>
    </row>
    <row r="56" spans="1:9" ht="22.5" customHeight="1">
      <c r="A56" s="1"/>
      <c r="B56" s="1" t="s">
        <v>16</v>
      </c>
      <c r="C56" s="1" t="s">
        <v>3</v>
      </c>
      <c r="D56" s="2" t="s">
        <v>111</v>
      </c>
      <c r="E56" s="2" t="s">
        <v>42</v>
      </c>
      <c r="F56" s="4">
        <v>45383</v>
      </c>
      <c r="G56" s="4">
        <v>45444</v>
      </c>
      <c r="H56" s="5" t="str">
        <f t="shared" si="0"/>
        <v>24.04~24.06</v>
      </c>
      <c r="I56" s="3">
        <v>3900000</v>
      </c>
    </row>
    <row r="57" spans="1:9" ht="22.5" customHeight="1">
      <c r="A57" s="1"/>
      <c r="B57" s="1" t="s">
        <v>12</v>
      </c>
      <c r="C57" s="1" t="s">
        <v>5</v>
      </c>
      <c r="D57" s="2" t="s">
        <v>112</v>
      </c>
      <c r="E57" s="2" t="s">
        <v>113</v>
      </c>
      <c r="F57" s="4">
        <v>45383</v>
      </c>
      <c r="G57" s="4">
        <v>45413</v>
      </c>
      <c r="H57" s="5" t="str">
        <f t="shared" si="0"/>
        <v>24.04~24.05</v>
      </c>
      <c r="I57" s="3">
        <v>21000000</v>
      </c>
    </row>
    <row r="58" spans="1:9" ht="22.5" customHeight="1">
      <c r="A58" s="1"/>
      <c r="B58" s="1" t="s">
        <v>4</v>
      </c>
      <c r="C58" s="1" t="s">
        <v>11</v>
      </c>
      <c r="D58" s="2" t="s">
        <v>114</v>
      </c>
      <c r="E58" s="2" t="s">
        <v>115</v>
      </c>
      <c r="F58" s="4">
        <v>45355</v>
      </c>
      <c r="G58" s="4">
        <v>45473</v>
      </c>
      <c r="H58" s="5" t="str">
        <f t="shared" si="0"/>
        <v>24.03~24.06</v>
      </c>
      <c r="I58" s="3">
        <v>66000000</v>
      </c>
    </row>
    <row r="59" spans="1:9" ht="22.5" customHeight="1">
      <c r="A59" s="1"/>
      <c r="B59" s="1" t="s">
        <v>10</v>
      </c>
      <c r="C59" s="1" t="s">
        <v>3</v>
      </c>
      <c r="D59" s="2" t="s">
        <v>116</v>
      </c>
      <c r="E59" s="2" t="s">
        <v>25</v>
      </c>
      <c r="F59" s="4">
        <v>45352</v>
      </c>
      <c r="G59" s="4">
        <v>45536</v>
      </c>
      <c r="H59" s="5" t="str">
        <f t="shared" si="0"/>
        <v>24.03~24.09</v>
      </c>
      <c r="I59" s="3">
        <v>48400000</v>
      </c>
    </row>
    <row r="60" spans="1:9" ht="22.5" customHeight="1">
      <c r="A60" s="1"/>
      <c r="B60" s="1" t="s">
        <v>8</v>
      </c>
      <c r="C60" s="1" t="s">
        <v>3</v>
      </c>
      <c r="D60" s="2" t="s">
        <v>117</v>
      </c>
      <c r="E60" s="2" t="s">
        <v>118</v>
      </c>
      <c r="F60" s="4">
        <v>45352</v>
      </c>
      <c r="G60" s="4">
        <v>45474</v>
      </c>
      <c r="H60" s="5" t="str">
        <f t="shared" si="0"/>
        <v>24.03~24.07</v>
      </c>
      <c r="I60" s="3">
        <v>18400000</v>
      </c>
    </row>
    <row r="61" spans="1:9" ht="22.5" customHeight="1">
      <c r="A61" s="1"/>
      <c r="B61" s="1" t="s">
        <v>14</v>
      </c>
      <c r="C61" s="1" t="s">
        <v>13</v>
      </c>
      <c r="D61" s="2" t="s">
        <v>119</v>
      </c>
      <c r="E61" s="2" t="s">
        <v>103</v>
      </c>
      <c r="F61" s="4">
        <v>45323</v>
      </c>
      <c r="G61" s="4">
        <v>45413</v>
      </c>
      <c r="H61" s="5" t="str">
        <f t="shared" si="0"/>
        <v>24.02~24.05</v>
      </c>
      <c r="I61" s="3">
        <v>19700000</v>
      </c>
    </row>
    <row r="62" spans="1:9" ht="22.5" customHeight="1">
      <c r="A62" s="1"/>
      <c r="B62" s="1" t="s">
        <v>14</v>
      </c>
      <c r="C62" s="1" t="s">
        <v>9</v>
      </c>
      <c r="D62" s="2" t="s">
        <v>120</v>
      </c>
      <c r="E62" s="2" t="s">
        <v>42</v>
      </c>
      <c r="F62" s="4">
        <v>45292</v>
      </c>
      <c r="G62" s="4">
        <v>45689</v>
      </c>
      <c r="H62" s="5" t="str">
        <f t="shared" si="0"/>
        <v>24.01~25.02</v>
      </c>
      <c r="I62" s="3">
        <v>18150000</v>
      </c>
    </row>
    <row r="63" spans="1:9" ht="22.5" customHeight="1">
      <c r="A63" s="1"/>
      <c r="B63" s="1" t="s">
        <v>6</v>
      </c>
      <c r="C63" s="1" t="s">
        <v>5</v>
      </c>
      <c r="D63" s="2" t="s">
        <v>121</v>
      </c>
      <c r="E63" s="2" t="s">
        <v>122</v>
      </c>
      <c r="F63" s="4">
        <v>45292</v>
      </c>
      <c r="G63" s="4">
        <v>45323</v>
      </c>
      <c r="H63" s="5" t="str">
        <f t="shared" si="0"/>
        <v>24.01~24.02</v>
      </c>
      <c r="I63" s="3">
        <v>7700000</v>
      </c>
    </row>
    <row r="64" spans="1:9" ht="22.5" customHeight="1">
      <c r="A64" s="1"/>
      <c r="B64" s="1" t="s">
        <v>14</v>
      </c>
      <c r="C64" s="1" t="s">
        <v>7</v>
      </c>
      <c r="D64" s="2" t="s">
        <v>123</v>
      </c>
      <c r="E64" s="2" t="s">
        <v>44</v>
      </c>
      <c r="F64" s="4">
        <v>45292</v>
      </c>
      <c r="G64" s="4">
        <v>45323</v>
      </c>
      <c r="H64" s="5" t="str">
        <f t="shared" si="0"/>
        <v>24.01~24.02</v>
      </c>
      <c r="I64" s="3">
        <v>21500000</v>
      </c>
    </row>
    <row r="65" spans="1:9" ht="22.5" customHeight="1">
      <c r="A65" s="1"/>
      <c r="B65" s="1" t="s">
        <v>14</v>
      </c>
      <c r="C65" s="1" t="s">
        <v>13</v>
      </c>
      <c r="D65" s="2" t="s">
        <v>124</v>
      </c>
      <c r="E65" s="2" t="s">
        <v>44</v>
      </c>
      <c r="F65" s="4">
        <v>45292</v>
      </c>
      <c r="G65" s="4">
        <v>45323</v>
      </c>
      <c r="H65" s="5" t="str">
        <f t="shared" si="0"/>
        <v>24.01~24.02</v>
      </c>
      <c r="I65" s="3">
        <v>21800000</v>
      </c>
    </row>
    <row r="66" spans="1:9" ht="22.5" customHeight="1">
      <c r="A66" s="1"/>
      <c r="B66" s="1" t="s">
        <v>2</v>
      </c>
      <c r="C66" s="1" t="s">
        <v>11</v>
      </c>
      <c r="D66" s="2" t="s">
        <v>125</v>
      </c>
      <c r="E66" s="2" t="s">
        <v>70</v>
      </c>
      <c r="F66" s="4">
        <v>45231</v>
      </c>
      <c r="G66" s="4">
        <v>45261</v>
      </c>
      <c r="H66" s="5" t="str">
        <f t="shared" si="0"/>
        <v>23.11~23.12</v>
      </c>
      <c r="I66" s="3">
        <v>48000000</v>
      </c>
    </row>
    <row r="67" spans="1:9" ht="22.5" customHeight="1">
      <c r="A67" s="1"/>
      <c r="B67" s="1" t="s">
        <v>4</v>
      </c>
      <c r="C67" s="1" t="s">
        <v>5</v>
      </c>
      <c r="D67" s="2" t="s">
        <v>126</v>
      </c>
      <c r="E67" s="2" t="s">
        <v>127</v>
      </c>
      <c r="F67" s="4">
        <v>45231</v>
      </c>
      <c r="G67" s="4">
        <v>45261</v>
      </c>
      <c r="H67" s="5" t="str">
        <f t="shared" si="0"/>
        <v>23.11~23.12</v>
      </c>
      <c r="I67" s="3">
        <v>8550000</v>
      </c>
    </row>
    <row r="68" spans="1:9" ht="22.5" customHeight="1">
      <c r="A68" s="1"/>
      <c r="B68" s="1" t="s">
        <v>4</v>
      </c>
      <c r="C68" s="1" t="s">
        <v>7</v>
      </c>
      <c r="D68" s="2" t="s">
        <v>128</v>
      </c>
      <c r="E68" s="2" t="s">
        <v>129</v>
      </c>
      <c r="F68" s="4">
        <v>45231</v>
      </c>
      <c r="G68" s="4">
        <v>45261</v>
      </c>
      <c r="H68" s="5" t="str">
        <f t="shared" si="0"/>
        <v>23.11~23.12</v>
      </c>
      <c r="I68" s="3">
        <v>96800000</v>
      </c>
    </row>
    <row r="69" spans="1:9" ht="22.5" customHeight="1">
      <c r="A69" s="1"/>
      <c r="B69" s="1" t="s">
        <v>2</v>
      </c>
      <c r="C69" s="1" t="s">
        <v>3</v>
      </c>
      <c r="D69" s="2" t="s">
        <v>130</v>
      </c>
      <c r="E69" s="2" t="s">
        <v>131</v>
      </c>
      <c r="F69" s="4">
        <v>45231</v>
      </c>
      <c r="G69" s="4">
        <v>45261</v>
      </c>
      <c r="H69" s="5" t="str">
        <f t="shared" si="0"/>
        <v>23.11~23.12</v>
      </c>
      <c r="I69" s="3">
        <v>20125000</v>
      </c>
    </row>
    <row r="70" spans="1:9" ht="22.5" customHeight="1">
      <c r="A70" s="1"/>
      <c r="B70" s="1" t="s">
        <v>10</v>
      </c>
      <c r="C70" s="1" t="s">
        <v>3</v>
      </c>
      <c r="D70" s="2" t="s">
        <v>132</v>
      </c>
      <c r="E70" s="2" t="s">
        <v>133</v>
      </c>
      <c r="F70" s="4">
        <v>45231</v>
      </c>
      <c r="G70" s="4">
        <v>45231</v>
      </c>
      <c r="H70" s="5" t="str">
        <f t="shared" si="0"/>
        <v>23.11~23.11</v>
      </c>
      <c r="I70" s="3">
        <v>15000000</v>
      </c>
    </row>
    <row r="71" spans="1:9" ht="22.5" customHeight="1">
      <c r="A71" s="1"/>
      <c r="B71" s="1" t="s">
        <v>4</v>
      </c>
      <c r="C71" s="1" t="s">
        <v>11</v>
      </c>
      <c r="D71" s="2" t="s">
        <v>134</v>
      </c>
      <c r="E71" s="2" t="s">
        <v>70</v>
      </c>
      <c r="F71" s="4">
        <v>45139</v>
      </c>
      <c r="G71" s="4">
        <v>45231</v>
      </c>
      <c r="H71" s="5" t="str">
        <f t="shared" si="0"/>
        <v>23.08~23.11</v>
      </c>
      <c r="I71" s="3">
        <v>28600000</v>
      </c>
    </row>
    <row r="72" spans="1:9" ht="22.5" customHeight="1">
      <c r="A72" s="1"/>
      <c r="B72" s="1" t="s">
        <v>2</v>
      </c>
      <c r="C72" s="1" t="s">
        <v>9</v>
      </c>
      <c r="D72" s="6" t="s">
        <v>213</v>
      </c>
      <c r="E72" s="7" t="s">
        <v>214</v>
      </c>
      <c r="F72" s="4">
        <v>45108</v>
      </c>
      <c r="G72" s="4">
        <v>45261</v>
      </c>
      <c r="H72" s="5" t="str">
        <f t="shared" si="0"/>
        <v>23.07~23.12</v>
      </c>
      <c r="I72" s="3">
        <v>20000000</v>
      </c>
    </row>
    <row r="73" spans="1:9" ht="22.5" customHeight="1">
      <c r="A73" s="1"/>
      <c r="B73" s="1" t="s">
        <v>14</v>
      </c>
      <c r="C73" s="1" t="s">
        <v>9</v>
      </c>
      <c r="D73" s="2" t="s">
        <v>135</v>
      </c>
      <c r="E73" s="2" t="s">
        <v>136</v>
      </c>
      <c r="F73" s="4">
        <v>45108</v>
      </c>
      <c r="G73" s="4">
        <v>45261</v>
      </c>
      <c r="H73" s="5" t="str">
        <f t="shared" si="0"/>
        <v>23.07~23.12</v>
      </c>
      <c r="I73" s="3">
        <v>15500000</v>
      </c>
    </row>
    <row r="74" spans="1:9" ht="22.5" customHeight="1">
      <c r="A74" s="1"/>
      <c r="B74" s="1" t="s">
        <v>6</v>
      </c>
      <c r="C74" s="1" t="s">
        <v>5</v>
      </c>
      <c r="D74" s="2" t="s">
        <v>137</v>
      </c>
      <c r="E74" s="2" t="s">
        <v>70</v>
      </c>
      <c r="F74" s="4">
        <v>45108</v>
      </c>
      <c r="G74" s="4">
        <v>45231</v>
      </c>
      <c r="H74" s="5" t="str">
        <f t="shared" si="0"/>
        <v>23.07~23.11</v>
      </c>
      <c r="I74" s="3">
        <v>15000000</v>
      </c>
    </row>
    <row r="75" spans="1:9" ht="22.5" customHeight="1">
      <c r="A75" s="1"/>
      <c r="B75" s="1" t="s">
        <v>4</v>
      </c>
      <c r="C75" s="1" t="s">
        <v>5</v>
      </c>
      <c r="D75" s="2" t="s">
        <v>138</v>
      </c>
      <c r="E75" s="2" t="s">
        <v>139</v>
      </c>
      <c r="F75" s="4">
        <v>45108</v>
      </c>
      <c r="G75" s="4">
        <v>45231</v>
      </c>
      <c r="H75" s="5" t="str">
        <f t="shared" si="0"/>
        <v>23.07~23.11</v>
      </c>
      <c r="I75" s="3">
        <v>4950000</v>
      </c>
    </row>
    <row r="76" spans="1:9" ht="22.5" customHeight="1">
      <c r="A76" s="1"/>
      <c r="B76" s="1" t="s">
        <v>4</v>
      </c>
      <c r="C76" s="1" t="s">
        <v>3</v>
      </c>
      <c r="D76" s="2" t="s">
        <v>140</v>
      </c>
      <c r="E76" s="2" t="s">
        <v>141</v>
      </c>
      <c r="F76" s="4">
        <v>45108</v>
      </c>
      <c r="G76" s="4">
        <v>45231</v>
      </c>
      <c r="H76" s="5" t="str">
        <f t="shared" si="0"/>
        <v>23.07~23.11</v>
      </c>
      <c r="I76" s="3">
        <v>33000000</v>
      </c>
    </row>
    <row r="77" spans="1:9" ht="22.5" customHeight="1">
      <c r="A77" s="1"/>
      <c r="B77" s="1" t="s">
        <v>2</v>
      </c>
      <c r="C77" s="1" t="s">
        <v>7</v>
      </c>
      <c r="D77" s="2" t="s">
        <v>142</v>
      </c>
      <c r="E77" s="2" t="s">
        <v>143</v>
      </c>
      <c r="F77" s="4">
        <v>45078</v>
      </c>
      <c r="G77" s="4">
        <v>45261</v>
      </c>
      <c r="H77" s="5" t="str">
        <f t="shared" si="0"/>
        <v>23.06~23.12</v>
      </c>
      <c r="I77" s="3">
        <v>73800000</v>
      </c>
    </row>
    <row r="78" spans="1:9" ht="22.5" customHeight="1">
      <c r="A78" s="1"/>
      <c r="B78" s="1" t="s">
        <v>4</v>
      </c>
      <c r="C78" s="1" t="s">
        <v>7</v>
      </c>
      <c r="D78" s="2" t="s">
        <v>144</v>
      </c>
      <c r="E78" s="2" t="s">
        <v>145</v>
      </c>
      <c r="F78" s="4">
        <v>45078</v>
      </c>
      <c r="G78" s="4">
        <v>45170</v>
      </c>
      <c r="H78" s="5" t="str">
        <f t="shared" si="0"/>
        <v>23.06~23.09</v>
      </c>
      <c r="I78" s="3">
        <v>4750000</v>
      </c>
    </row>
    <row r="79" spans="1:9" ht="22.5" customHeight="1">
      <c r="A79" s="1"/>
      <c r="B79" s="1" t="s">
        <v>14</v>
      </c>
      <c r="C79" s="1" t="s">
        <v>5</v>
      </c>
      <c r="D79" s="2" t="s">
        <v>146</v>
      </c>
      <c r="E79" s="2" t="s">
        <v>147</v>
      </c>
      <c r="F79" s="4">
        <v>45078</v>
      </c>
      <c r="G79" s="4">
        <v>45170</v>
      </c>
      <c r="H79" s="5" t="str">
        <f t="shared" si="0"/>
        <v>23.06~23.09</v>
      </c>
      <c r="I79" s="3">
        <v>7350000</v>
      </c>
    </row>
    <row r="80" spans="1:9" ht="22.5" customHeight="1">
      <c r="A80" s="1"/>
      <c r="B80" s="1" t="s">
        <v>4</v>
      </c>
      <c r="C80" s="1" t="s">
        <v>3</v>
      </c>
      <c r="D80" s="2" t="s">
        <v>148</v>
      </c>
      <c r="E80" s="2" t="s">
        <v>27</v>
      </c>
      <c r="F80" s="4">
        <v>45078</v>
      </c>
      <c r="G80" s="4">
        <v>45231</v>
      </c>
      <c r="H80" s="5" t="str">
        <f t="shared" si="0"/>
        <v>23.06~23.11</v>
      </c>
      <c r="I80" s="3">
        <v>77000000</v>
      </c>
    </row>
    <row r="81" spans="1:9" ht="22.5" customHeight="1">
      <c r="A81" s="1"/>
      <c r="B81" s="1" t="s">
        <v>14</v>
      </c>
      <c r="C81" s="1" t="s">
        <v>7</v>
      </c>
      <c r="D81" s="2" t="s">
        <v>149</v>
      </c>
      <c r="E81" s="2" t="s">
        <v>150</v>
      </c>
      <c r="F81" s="4">
        <v>45047</v>
      </c>
      <c r="G81" s="4">
        <v>44927</v>
      </c>
      <c r="H81" s="5" t="str">
        <f t="shared" si="0"/>
        <v>23.05~23.01</v>
      </c>
      <c r="I81" s="3">
        <v>92890000</v>
      </c>
    </row>
    <row r="82" spans="1:9" ht="22.5" customHeight="1">
      <c r="A82" s="1"/>
      <c r="B82" s="1" t="s">
        <v>12</v>
      </c>
      <c r="C82" s="1" t="s">
        <v>5</v>
      </c>
      <c r="D82" s="2" t="s">
        <v>151</v>
      </c>
      <c r="E82" s="2" t="s">
        <v>152</v>
      </c>
      <c r="F82" s="4">
        <v>44958</v>
      </c>
      <c r="G82" s="4">
        <v>44986</v>
      </c>
      <c r="H82" s="5" t="str">
        <f t="shared" si="0"/>
        <v>23.02~23.03</v>
      </c>
      <c r="I82" s="3">
        <v>21000000</v>
      </c>
    </row>
    <row r="83" spans="1:9" ht="22.5" customHeight="1">
      <c r="A83" s="1"/>
      <c r="B83" s="1" t="s">
        <v>14</v>
      </c>
      <c r="C83" s="1" t="s">
        <v>7</v>
      </c>
      <c r="D83" s="2" t="s">
        <v>153</v>
      </c>
      <c r="E83" s="2" t="s">
        <v>154</v>
      </c>
      <c r="F83" s="4">
        <v>44927</v>
      </c>
      <c r="G83" s="4">
        <v>45231</v>
      </c>
      <c r="H83" s="5" t="str">
        <f t="shared" si="0"/>
        <v>23.01~23.11</v>
      </c>
      <c r="I83" s="3">
        <v>4750000</v>
      </c>
    </row>
    <row r="84" spans="1:9" ht="22.5" customHeight="1">
      <c r="A84" s="1"/>
      <c r="B84" s="1" t="s">
        <v>14</v>
      </c>
      <c r="C84" s="1" t="s">
        <v>9</v>
      </c>
      <c r="D84" s="2" t="s">
        <v>155</v>
      </c>
      <c r="E84" s="2" t="s">
        <v>156</v>
      </c>
      <c r="F84" s="4">
        <v>44927</v>
      </c>
      <c r="G84" s="4">
        <v>45231</v>
      </c>
      <c r="H84" s="5" t="str">
        <f t="shared" si="0"/>
        <v>23.01~23.11</v>
      </c>
      <c r="I84" s="3">
        <v>11000000</v>
      </c>
    </row>
    <row r="85" spans="1:9" ht="22.5" customHeight="1">
      <c r="A85" s="1"/>
      <c r="B85" s="1" t="s">
        <v>6</v>
      </c>
      <c r="C85" s="1" t="s">
        <v>9</v>
      </c>
      <c r="D85" s="2" t="s">
        <v>157</v>
      </c>
      <c r="E85" s="2" t="s">
        <v>156</v>
      </c>
      <c r="F85" s="4">
        <v>44927</v>
      </c>
      <c r="G85" s="4">
        <v>44958</v>
      </c>
      <c r="H85" s="5" t="str">
        <f t="shared" si="0"/>
        <v>23.01~23.02</v>
      </c>
      <c r="I85" s="3">
        <v>5000000</v>
      </c>
    </row>
    <row r="86" spans="1:9" ht="22.5" customHeight="1">
      <c r="A86" s="1"/>
      <c r="B86" s="1" t="s">
        <v>14</v>
      </c>
      <c r="C86" s="1" t="s">
        <v>5</v>
      </c>
      <c r="D86" s="2" t="s">
        <v>158</v>
      </c>
      <c r="E86" s="2" t="s">
        <v>127</v>
      </c>
      <c r="F86" s="4">
        <v>44927</v>
      </c>
      <c r="G86" s="4">
        <v>44927</v>
      </c>
      <c r="H86" s="5" t="str">
        <f t="shared" si="0"/>
        <v>23.01~23.01</v>
      </c>
      <c r="I86" s="3">
        <v>4400000</v>
      </c>
    </row>
    <row r="87" spans="1:9" ht="22.5" customHeight="1">
      <c r="A87" s="1"/>
      <c r="B87" s="1" t="s">
        <v>10</v>
      </c>
      <c r="C87" s="1" t="s">
        <v>3</v>
      </c>
      <c r="D87" s="2" t="s">
        <v>159</v>
      </c>
      <c r="E87" s="2" t="s">
        <v>25</v>
      </c>
      <c r="F87" s="4">
        <v>44927</v>
      </c>
      <c r="G87" s="4">
        <v>45078</v>
      </c>
      <c r="H87" s="5" t="str">
        <f t="shared" si="0"/>
        <v>23.01~23.06</v>
      </c>
      <c r="I87" s="3">
        <v>76000000</v>
      </c>
    </row>
    <row r="88" spans="1:9" ht="22.5" customHeight="1">
      <c r="A88" s="1"/>
      <c r="B88" s="1" t="s">
        <v>14</v>
      </c>
      <c r="C88" s="1" t="s">
        <v>7</v>
      </c>
      <c r="D88" s="2" t="s">
        <v>160</v>
      </c>
      <c r="E88" s="2" t="s">
        <v>161</v>
      </c>
      <c r="F88" s="4">
        <v>44896</v>
      </c>
      <c r="G88" s="4">
        <v>44958</v>
      </c>
      <c r="H88" s="5" t="str">
        <f t="shared" si="0"/>
        <v>22.12~23.02</v>
      </c>
      <c r="I88" s="3">
        <v>18000000</v>
      </c>
    </row>
    <row r="89" spans="1:9" ht="22.5" customHeight="1">
      <c r="A89" s="1"/>
      <c r="B89" s="1" t="s">
        <v>14</v>
      </c>
      <c r="C89" s="1" t="s">
        <v>5</v>
      </c>
      <c r="D89" s="2" t="s">
        <v>162</v>
      </c>
      <c r="E89" s="2" t="s">
        <v>163</v>
      </c>
      <c r="F89" s="4">
        <v>44866</v>
      </c>
      <c r="G89" s="4">
        <v>44896</v>
      </c>
      <c r="H89" s="5" t="str">
        <f t="shared" si="0"/>
        <v>22.11~22.12</v>
      </c>
      <c r="I89" s="3">
        <v>20000000</v>
      </c>
    </row>
    <row r="90" spans="1:9" ht="22.5" customHeight="1">
      <c r="A90" s="1"/>
      <c r="B90" s="1" t="s">
        <v>4</v>
      </c>
      <c r="C90" s="1" t="s">
        <v>5</v>
      </c>
      <c r="D90" s="2" t="s">
        <v>164</v>
      </c>
      <c r="E90" s="2" t="s">
        <v>93</v>
      </c>
      <c r="F90" s="4">
        <v>44866</v>
      </c>
      <c r="G90" s="4">
        <v>44896</v>
      </c>
      <c r="H90" s="5" t="str">
        <f t="shared" si="0"/>
        <v>22.11~22.12</v>
      </c>
      <c r="I90" s="3">
        <v>64500000</v>
      </c>
    </row>
    <row r="91" spans="1:9" ht="22.5" customHeight="1">
      <c r="A91" s="1"/>
      <c r="B91" s="1" t="s">
        <v>8</v>
      </c>
      <c r="C91" s="1" t="s">
        <v>5</v>
      </c>
      <c r="D91" s="2" t="s">
        <v>165</v>
      </c>
      <c r="E91" s="2" t="s">
        <v>166</v>
      </c>
      <c r="F91" s="4">
        <v>44866</v>
      </c>
      <c r="G91" s="4">
        <v>44896</v>
      </c>
      <c r="H91" s="5" t="str">
        <f t="shared" si="0"/>
        <v>22.11~22.12</v>
      </c>
      <c r="I91" s="3">
        <v>20000000</v>
      </c>
    </row>
    <row r="92" spans="1:9" ht="22.5" customHeight="1">
      <c r="A92" s="1"/>
      <c r="B92" s="1" t="s">
        <v>14</v>
      </c>
      <c r="C92" s="1" t="s">
        <v>5</v>
      </c>
      <c r="D92" s="2" t="s">
        <v>167</v>
      </c>
      <c r="E92" s="2" t="s">
        <v>168</v>
      </c>
      <c r="F92" s="4">
        <v>44866</v>
      </c>
      <c r="G92" s="4">
        <v>44896</v>
      </c>
      <c r="H92" s="5" t="str">
        <f t="shared" si="0"/>
        <v>22.11~22.12</v>
      </c>
      <c r="I92" s="3">
        <v>84700000</v>
      </c>
    </row>
    <row r="93" spans="1:9" ht="22.5" customHeight="1">
      <c r="A93" s="1"/>
      <c r="B93" s="1" t="s">
        <v>4</v>
      </c>
      <c r="C93" s="1" t="s">
        <v>5</v>
      </c>
      <c r="D93" s="2" t="s">
        <v>169</v>
      </c>
      <c r="E93" s="2" t="s">
        <v>70</v>
      </c>
      <c r="F93" s="4">
        <v>44866</v>
      </c>
      <c r="G93" s="4">
        <v>44866</v>
      </c>
      <c r="H93" s="5" t="str">
        <f t="shared" si="0"/>
        <v>22.11~22.11</v>
      </c>
      <c r="I93" s="3">
        <v>10000000</v>
      </c>
    </row>
    <row r="94" spans="1:9" ht="22.5" customHeight="1">
      <c r="A94" s="1"/>
      <c r="B94" s="1" t="s">
        <v>14</v>
      </c>
      <c r="C94" s="1" t="s">
        <v>3</v>
      </c>
      <c r="D94" s="2" t="s">
        <v>170</v>
      </c>
      <c r="E94" s="2" t="s">
        <v>171</v>
      </c>
      <c r="F94" s="4">
        <v>44866</v>
      </c>
      <c r="G94" s="4">
        <v>44927</v>
      </c>
      <c r="H94" s="5" t="str">
        <f t="shared" si="0"/>
        <v>22.11~23.01</v>
      </c>
      <c r="I94" s="3">
        <v>20000000</v>
      </c>
    </row>
    <row r="95" spans="1:9" ht="22.5" customHeight="1">
      <c r="A95" s="1"/>
      <c r="B95" s="1" t="s">
        <v>14</v>
      </c>
      <c r="C95" s="1" t="s">
        <v>3</v>
      </c>
      <c r="D95" s="2" t="s">
        <v>172</v>
      </c>
      <c r="E95" s="2" t="s">
        <v>173</v>
      </c>
      <c r="F95" s="4">
        <v>44805</v>
      </c>
      <c r="G95" s="4">
        <v>44866</v>
      </c>
      <c r="H95" s="5" t="str">
        <f t="shared" si="0"/>
        <v>22.09~22.11</v>
      </c>
      <c r="I95" s="3">
        <v>16000000</v>
      </c>
    </row>
    <row r="96" spans="1:9" ht="22.5" customHeight="1">
      <c r="A96" s="1"/>
      <c r="B96" s="1" t="s">
        <v>2</v>
      </c>
      <c r="C96" s="1" t="s">
        <v>7</v>
      </c>
      <c r="D96" s="2" t="s">
        <v>174</v>
      </c>
      <c r="E96" s="2" t="s">
        <v>143</v>
      </c>
      <c r="F96" s="4">
        <v>44774</v>
      </c>
      <c r="G96" s="4">
        <v>44896</v>
      </c>
      <c r="H96" s="5" t="str">
        <f t="shared" si="0"/>
        <v>22.08~22.12</v>
      </c>
      <c r="I96" s="3">
        <v>63700000</v>
      </c>
    </row>
    <row r="97" spans="1:9" ht="22.5" customHeight="1">
      <c r="A97" s="1"/>
      <c r="B97" s="1" t="s">
        <v>4</v>
      </c>
      <c r="C97" s="1" t="s">
        <v>3</v>
      </c>
      <c r="D97" s="2" t="s">
        <v>175</v>
      </c>
      <c r="E97" s="2" t="s">
        <v>176</v>
      </c>
      <c r="F97" s="4">
        <v>44774</v>
      </c>
      <c r="G97" s="4">
        <v>44866</v>
      </c>
      <c r="H97" s="5" t="str">
        <f t="shared" si="0"/>
        <v>22.08~22.11</v>
      </c>
      <c r="I97" s="3">
        <v>19800000</v>
      </c>
    </row>
    <row r="98" spans="1:9" ht="22.5" customHeight="1">
      <c r="A98" s="1"/>
      <c r="B98" s="1" t="s">
        <v>2</v>
      </c>
      <c r="C98" s="1" t="s">
        <v>3</v>
      </c>
      <c r="D98" s="2" t="s">
        <v>177</v>
      </c>
      <c r="E98" s="2" t="s">
        <v>178</v>
      </c>
      <c r="F98" s="4">
        <v>44774</v>
      </c>
      <c r="G98" s="4">
        <v>44866</v>
      </c>
      <c r="H98" s="5" t="str">
        <f t="shared" si="0"/>
        <v>22.08~22.11</v>
      </c>
      <c r="I98" s="3">
        <v>20000000</v>
      </c>
    </row>
    <row r="99" spans="1:9" ht="22.5" customHeight="1">
      <c r="A99" s="1"/>
      <c r="B99" s="1" t="s">
        <v>14</v>
      </c>
      <c r="C99" s="1" t="s">
        <v>9</v>
      </c>
      <c r="D99" s="2" t="s">
        <v>179</v>
      </c>
      <c r="E99" s="2" t="s">
        <v>180</v>
      </c>
      <c r="F99" s="4">
        <v>44743</v>
      </c>
      <c r="G99" s="4">
        <v>44774</v>
      </c>
      <c r="H99" s="5" t="str">
        <f t="shared" si="0"/>
        <v>22.07~22.08</v>
      </c>
      <c r="I99" s="3">
        <v>15000000</v>
      </c>
    </row>
    <row r="100" spans="1:9" ht="22.5" customHeight="1">
      <c r="A100" s="1"/>
      <c r="B100" s="1" t="s">
        <v>4</v>
      </c>
      <c r="C100" s="1" t="s">
        <v>11</v>
      </c>
      <c r="D100" s="2" t="s">
        <v>181</v>
      </c>
      <c r="E100" s="2" t="s">
        <v>182</v>
      </c>
      <c r="F100" s="4">
        <v>44682</v>
      </c>
      <c r="G100" s="4">
        <v>44713</v>
      </c>
      <c r="H100" s="5" t="str">
        <f t="shared" si="0"/>
        <v>22.05~22.06</v>
      </c>
      <c r="I100" s="3">
        <v>60000000</v>
      </c>
    </row>
    <row r="101" spans="1:9" ht="22.5" customHeight="1">
      <c r="A101" s="1"/>
      <c r="B101" s="1" t="s">
        <v>4</v>
      </c>
      <c r="C101" s="1" t="s">
        <v>9</v>
      </c>
      <c r="D101" s="2" t="s">
        <v>183</v>
      </c>
      <c r="E101" s="2" t="s">
        <v>184</v>
      </c>
      <c r="F101" s="4">
        <v>44652</v>
      </c>
      <c r="G101" s="4">
        <v>44986</v>
      </c>
      <c r="H101" s="5" t="str">
        <f t="shared" si="0"/>
        <v>22.04~23.03</v>
      </c>
      <c r="I101" s="3">
        <v>120000000</v>
      </c>
    </row>
    <row r="102" spans="1:9" ht="22.5" customHeight="1">
      <c r="A102" s="1"/>
      <c r="B102" s="1" t="s">
        <v>14</v>
      </c>
      <c r="C102" s="1" t="s">
        <v>9</v>
      </c>
      <c r="D102" s="2" t="s">
        <v>185</v>
      </c>
      <c r="E102" s="2" t="s">
        <v>186</v>
      </c>
      <c r="F102" s="4">
        <v>44652</v>
      </c>
      <c r="G102" s="4">
        <v>44896</v>
      </c>
      <c r="H102" s="5" t="str">
        <f t="shared" si="0"/>
        <v>22.04~22.12</v>
      </c>
      <c r="I102" s="3">
        <v>10000000</v>
      </c>
    </row>
    <row r="103" spans="1:9" ht="22.5" customHeight="1">
      <c r="A103" s="1"/>
      <c r="B103" s="1" t="s">
        <v>14</v>
      </c>
      <c r="C103" s="1" t="s">
        <v>3</v>
      </c>
      <c r="D103" s="2" t="s">
        <v>187</v>
      </c>
      <c r="E103" s="2" t="s">
        <v>188</v>
      </c>
      <c r="F103" s="4">
        <v>44593</v>
      </c>
      <c r="G103" s="4">
        <v>44593</v>
      </c>
      <c r="H103" s="5" t="str">
        <f t="shared" si="0"/>
        <v>22.02~22.02</v>
      </c>
      <c r="I103" s="3">
        <v>19800000</v>
      </c>
    </row>
    <row r="104" spans="1:9" ht="22.5" customHeight="1">
      <c r="A104" s="1"/>
      <c r="B104" s="1" t="s">
        <v>2</v>
      </c>
      <c r="C104" s="1" t="s">
        <v>7</v>
      </c>
      <c r="D104" s="2" t="s">
        <v>189</v>
      </c>
      <c r="E104" s="2" t="s">
        <v>154</v>
      </c>
      <c r="F104" s="4">
        <v>44562</v>
      </c>
      <c r="G104" s="4">
        <v>44896</v>
      </c>
      <c r="H104" s="5" t="str">
        <f t="shared" si="0"/>
        <v>22.01~22.12</v>
      </c>
      <c r="I104" s="3">
        <v>8550000</v>
      </c>
    </row>
    <row r="105" spans="1:9" ht="22.5" customHeight="1">
      <c r="A105" s="1"/>
      <c r="B105" s="1" t="s">
        <v>14</v>
      </c>
      <c r="C105" s="1" t="s">
        <v>3</v>
      </c>
      <c r="D105" s="2" t="s">
        <v>190</v>
      </c>
      <c r="E105" s="2" t="s">
        <v>191</v>
      </c>
      <c r="F105" s="4">
        <v>44562</v>
      </c>
      <c r="G105" s="4">
        <v>45108</v>
      </c>
      <c r="H105" s="5" t="str">
        <f t="shared" si="0"/>
        <v>22.01~23.07</v>
      </c>
      <c r="I105" s="3">
        <v>17850000</v>
      </c>
    </row>
    <row r="106" spans="1:9" ht="22.5" customHeight="1">
      <c r="A106" s="1"/>
      <c r="B106" s="1" t="s">
        <v>16</v>
      </c>
      <c r="C106" s="1" t="s">
        <v>7</v>
      </c>
      <c r="D106" s="2" t="s">
        <v>192</v>
      </c>
      <c r="E106" s="2" t="s">
        <v>154</v>
      </c>
      <c r="F106" s="4">
        <v>44409</v>
      </c>
      <c r="G106" s="4">
        <v>44562</v>
      </c>
      <c r="H106" s="5" t="str">
        <f t="shared" si="0"/>
        <v>21.08~22.01</v>
      </c>
      <c r="I106" s="3">
        <v>25000000</v>
      </c>
    </row>
    <row r="107" spans="1:9" ht="22.5" customHeight="1">
      <c r="A107" s="1"/>
      <c r="B107" s="1" t="s">
        <v>4</v>
      </c>
      <c r="C107" s="1" t="s">
        <v>11</v>
      </c>
      <c r="D107" s="2" t="s">
        <v>193</v>
      </c>
      <c r="E107" s="2" t="s">
        <v>70</v>
      </c>
      <c r="F107" s="4">
        <v>44409</v>
      </c>
      <c r="G107" s="4">
        <v>44501</v>
      </c>
      <c r="H107" s="5" t="str">
        <f t="shared" si="0"/>
        <v>21.08~21.11</v>
      </c>
      <c r="I107" s="3">
        <v>78500000</v>
      </c>
    </row>
    <row r="108" spans="1:9" ht="22.5" customHeight="1">
      <c r="A108" s="1"/>
      <c r="B108" s="1" t="s">
        <v>16</v>
      </c>
      <c r="C108" s="1" t="s">
        <v>3</v>
      </c>
      <c r="D108" s="2" t="s">
        <v>194</v>
      </c>
      <c r="E108" s="2" t="s">
        <v>195</v>
      </c>
      <c r="F108" s="4">
        <v>44409</v>
      </c>
      <c r="G108" s="4">
        <v>44681</v>
      </c>
      <c r="H108" s="5" t="str">
        <f t="shared" si="0"/>
        <v>21.08~22.04</v>
      </c>
      <c r="I108" s="3">
        <v>165167000</v>
      </c>
    </row>
    <row r="109" spans="1:9" ht="22.5" customHeight="1">
      <c r="A109" s="1"/>
      <c r="B109" s="1" t="s">
        <v>4</v>
      </c>
      <c r="C109" s="1" t="s">
        <v>3</v>
      </c>
      <c r="D109" s="2" t="s">
        <v>196</v>
      </c>
      <c r="E109" s="2" t="s">
        <v>197</v>
      </c>
      <c r="F109" s="4">
        <v>44409</v>
      </c>
      <c r="G109" s="4">
        <v>44197</v>
      </c>
      <c r="H109" s="5" t="str">
        <f t="shared" si="0"/>
        <v>21.08~21.01</v>
      </c>
      <c r="I109" s="3">
        <v>19600000</v>
      </c>
    </row>
    <row r="110" spans="1:9" ht="22.5" customHeight="1">
      <c r="A110" s="1"/>
      <c r="B110" s="1" t="s">
        <v>2</v>
      </c>
      <c r="C110" s="1" t="s">
        <v>11</v>
      </c>
      <c r="D110" s="2" t="s">
        <v>198</v>
      </c>
      <c r="E110" s="2" t="s">
        <v>199</v>
      </c>
      <c r="F110" s="4">
        <v>44378</v>
      </c>
      <c r="G110" s="4">
        <v>44531</v>
      </c>
      <c r="H110" s="5" t="str">
        <f t="shared" si="0"/>
        <v>21.07~21.12</v>
      </c>
      <c r="I110" s="3">
        <v>107250000</v>
      </c>
    </row>
    <row r="111" spans="1:9" ht="22.5" customHeight="1">
      <c r="A111" s="1"/>
      <c r="B111" s="1" t="s">
        <v>4</v>
      </c>
      <c r="C111" s="1" t="s">
        <v>7</v>
      </c>
      <c r="D111" s="2" t="s">
        <v>200</v>
      </c>
      <c r="E111" s="2" t="s">
        <v>31</v>
      </c>
      <c r="F111" s="4">
        <v>44348</v>
      </c>
      <c r="G111" s="4">
        <v>44501</v>
      </c>
      <c r="H111" s="5" t="str">
        <f t="shared" si="0"/>
        <v>21.06~21.11</v>
      </c>
      <c r="I111" s="3">
        <v>48000000</v>
      </c>
    </row>
    <row r="112" spans="1:9" ht="22.5" customHeight="1">
      <c r="A112" s="1"/>
      <c r="B112" s="1" t="s">
        <v>4</v>
      </c>
      <c r="C112" s="1" t="s">
        <v>11</v>
      </c>
      <c r="D112" s="2" t="s">
        <v>201</v>
      </c>
      <c r="E112" s="2" t="s">
        <v>31</v>
      </c>
      <c r="F112" s="4">
        <v>44317</v>
      </c>
      <c r="G112" s="4">
        <v>44197</v>
      </c>
      <c r="H112" s="5" t="str">
        <f t="shared" si="0"/>
        <v>21.05~21.01</v>
      </c>
      <c r="I112" s="3">
        <v>30000000</v>
      </c>
    </row>
    <row r="113" spans="1:9" ht="22.5" customHeight="1">
      <c r="A113" s="1"/>
      <c r="B113" s="1" t="s">
        <v>6</v>
      </c>
      <c r="C113" s="1" t="s">
        <v>13</v>
      </c>
      <c r="D113" s="2" t="s">
        <v>202</v>
      </c>
      <c r="E113" s="2" t="s">
        <v>27</v>
      </c>
      <c r="F113" s="4">
        <v>44136</v>
      </c>
      <c r="G113" s="4">
        <v>44287</v>
      </c>
      <c r="H113" s="5" t="str">
        <f t="shared" si="0"/>
        <v>20.11~21.04</v>
      </c>
      <c r="I113" s="3">
        <v>49470000</v>
      </c>
    </row>
    <row r="114" spans="1:9" ht="22.5" customHeight="1">
      <c r="A114" s="1"/>
      <c r="B114" s="1" t="s">
        <v>14</v>
      </c>
      <c r="C114" s="1" t="s">
        <v>3</v>
      </c>
      <c r="D114" s="2" t="s">
        <v>203</v>
      </c>
      <c r="E114" s="2" t="s">
        <v>204</v>
      </c>
      <c r="F114" s="4">
        <v>44044</v>
      </c>
      <c r="G114" s="4">
        <v>44136</v>
      </c>
      <c r="H114" s="5" t="str">
        <f t="shared" si="0"/>
        <v>20.08~20.11</v>
      </c>
      <c r="I114" s="3">
        <v>6000000</v>
      </c>
    </row>
    <row r="115" spans="1:9" ht="22.5" customHeight="1">
      <c r="A115" s="1"/>
      <c r="B115" s="1" t="s">
        <v>4</v>
      </c>
      <c r="C115" s="1" t="s">
        <v>3</v>
      </c>
      <c r="D115" s="2" t="s">
        <v>205</v>
      </c>
      <c r="E115" s="2" t="s">
        <v>31</v>
      </c>
      <c r="F115" s="4">
        <v>44044</v>
      </c>
      <c r="G115" s="4">
        <v>43831</v>
      </c>
      <c r="H115" s="5" t="str">
        <f t="shared" si="0"/>
        <v>20.08~20.01</v>
      </c>
      <c r="I115" s="3">
        <v>21450000</v>
      </c>
    </row>
    <row r="116" spans="1:9" ht="22.5" customHeight="1">
      <c r="A116" s="1"/>
      <c r="B116" s="1" t="s">
        <v>15</v>
      </c>
      <c r="C116" s="1" t="s">
        <v>3</v>
      </c>
      <c r="D116" s="2" t="s">
        <v>206</v>
      </c>
      <c r="E116" s="2" t="s">
        <v>48</v>
      </c>
      <c r="F116" s="4">
        <v>43831</v>
      </c>
      <c r="G116" s="4">
        <v>44166</v>
      </c>
      <c r="H116" s="5" t="str">
        <f t="shared" si="0"/>
        <v>20.01~20.12</v>
      </c>
      <c r="I116" s="3">
        <v>144921000</v>
      </c>
    </row>
    <row r="117" spans="1:9" ht="22.5" customHeight="1">
      <c r="A117" s="1"/>
      <c r="B117" s="1" t="s">
        <v>4</v>
      </c>
      <c r="C117" s="1" t="s">
        <v>3</v>
      </c>
      <c r="D117" s="2" t="s">
        <v>207</v>
      </c>
      <c r="E117" s="2" t="s">
        <v>27</v>
      </c>
      <c r="F117" s="4">
        <v>43831</v>
      </c>
      <c r="G117" s="4">
        <v>44166</v>
      </c>
      <c r="H117" s="5" t="str">
        <f t="shared" si="0"/>
        <v>20.01~20.12</v>
      </c>
      <c r="I117" s="3">
        <v>77600000</v>
      </c>
    </row>
    <row r="118" spans="1:9" ht="22.5" customHeight="1">
      <c r="A118" s="1"/>
      <c r="B118" s="1" t="s">
        <v>14</v>
      </c>
      <c r="C118" s="1" t="s">
        <v>7</v>
      </c>
      <c r="D118" s="2" t="s">
        <v>208</v>
      </c>
      <c r="E118" s="2" t="s">
        <v>27</v>
      </c>
      <c r="F118" s="4">
        <v>43831</v>
      </c>
      <c r="G118" s="4">
        <v>44166</v>
      </c>
      <c r="H118" s="5" t="str">
        <f t="shared" si="0"/>
        <v>20.01~20.12</v>
      </c>
      <c r="I118" s="3">
        <v>77000000</v>
      </c>
    </row>
    <row r="119" spans="1:9" ht="22.5" customHeight="1">
      <c r="A119" s="1"/>
      <c r="B119" s="1" t="s">
        <v>2</v>
      </c>
      <c r="C119" s="1" t="s">
        <v>3</v>
      </c>
      <c r="D119" s="2" t="s">
        <v>209</v>
      </c>
      <c r="E119" s="2" t="s">
        <v>210</v>
      </c>
      <c r="F119" s="4">
        <v>43770</v>
      </c>
      <c r="G119" s="4">
        <v>43983</v>
      </c>
      <c r="H119" s="5" t="str">
        <f t="shared" si="0"/>
        <v>19.11~20.06</v>
      </c>
      <c r="I119" s="3">
        <v>100000000</v>
      </c>
    </row>
    <row r="120" spans="1:9" ht="22.5" customHeight="1">
      <c r="A120" s="1"/>
      <c r="B120" s="1" t="s">
        <v>6</v>
      </c>
      <c r="C120" s="1" t="s">
        <v>13</v>
      </c>
      <c r="D120" s="2" t="s">
        <v>211</v>
      </c>
      <c r="E120" s="2" t="s">
        <v>27</v>
      </c>
      <c r="F120" s="4"/>
      <c r="G120" s="4"/>
      <c r="H120" s="5" t="str">
        <f t="shared" si="0"/>
        <v>00.01~00.01</v>
      </c>
      <c r="I120" s="3"/>
    </row>
    <row r="121" spans="1:9" ht="22.5" customHeight="1">
      <c r="A121" s="1"/>
      <c r="B121" s="1"/>
      <c r="C121" s="1"/>
      <c r="D121" s="2"/>
      <c r="E121" s="2"/>
      <c r="F121" s="4"/>
      <c r="G121" s="4"/>
      <c r="H121" s="5" t="str">
        <f t="shared" si="0"/>
        <v>00.01~00.01</v>
      </c>
      <c r="I121" s="3"/>
    </row>
    <row r="122" spans="1:9" ht="22.5" customHeight="1">
      <c r="A122" s="1"/>
      <c r="B122" s="1"/>
      <c r="C122" s="1"/>
      <c r="E122" s="2"/>
      <c r="F122" s="4"/>
      <c r="G122" s="4"/>
      <c r="H122" s="5" t="str">
        <f t="shared" si="0"/>
        <v>00.01~00.01</v>
      </c>
      <c r="I122" s="3"/>
    </row>
    <row r="123" spans="1:9" ht="22.5" customHeight="1">
      <c r="A123" s="1"/>
      <c r="B123" s="1"/>
      <c r="C123" s="1"/>
      <c r="D123" s="2"/>
      <c r="E123" s="2"/>
      <c r="F123" s="4"/>
      <c r="G123" s="4"/>
      <c r="H123" s="5" t="str">
        <f t="shared" si="0"/>
        <v>00.01~00.01</v>
      </c>
      <c r="I123" s="3"/>
    </row>
    <row r="124" spans="1:9" ht="22.5" customHeight="1">
      <c r="A124" s="1"/>
      <c r="B124" s="1"/>
      <c r="C124" s="1"/>
      <c r="D124" s="2"/>
      <c r="E124" s="2"/>
      <c r="F124" s="4"/>
      <c r="G124" s="4"/>
      <c r="H124" s="5" t="str">
        <f t="shared" si="0"/>
        <v>00.01~00.01</v>
      </c>
      <c r="I124" s="3"/>
    </row>
    <row r="125" spans="1:9" ht="22.5" customHeight="1">
      <c r="A125" s="1"/>
      <c r="B125" s="1"/>
      <c r="C125" s="1"/>
      <c r="D125" s="2"/>
      <c r="E125" s="2"/>
      <c r="F125" s="4"/>
      <c r="G125" s="4"/>
      <c r="H125" s="5" t="str">
        <f t="shared" si="0"/>
        <v>00.01~00.01</v>
      </c>
      <c r="I125" s="3"/>
    </row>
    <row r="126" spans="1:9" ht="22.5" customHeight="1">
      <c r="A126" s="1"/>
      <c r="B126" s="1"/>
      <c r="C126" s="1"/>
      <c r="D126" s="2"/>
      <c r="E126" s="2"/>
      <c r="F126" s="4"/>
      <c r="G126" s="4"/>
      <c r="H126" s="5" t="str">
        <f t="shared" si="0"/>
        <v>00.01~00.01</v>
      </c>
      <c r="I126" s="3"/>
    </row>
    <row r="127" spans="1:9" ht="22.5" customHeight="1">
      <c r="A127" s="1"/>
      <c r="B127" s="1"/>
      <c r="C127" s="1"/>
      <c r="D127" s="2"/>
      <c r="E127" s="2"/>
      <c r="F127" s="4"/>
      <c r="G127" s="4"/>
      <c r="H127" s="5" t="str">
        <f t="shared" si="0"/>
        <v>00.01~00.01</v>
      </c>
      <c r="I127" s="3"/>
    </row>
    <row r="128" spans="1:9" ht="22.5" customHeight="1">
      <c r="A128" s="1"/>
      <c r="B128" s="1"/>
      <c r="C128" s="1"/>
      <c r="D128" s="2"/>
      <c r="E128" s="2"/>
      <c r="F128" s="1"/>
      <c r="G128" s="1"/>
      <c r="H128" s="1"/>
      <c r="I128" s="3">
        <f>SUM(사업_수행_실적[금액])</f>
        <v>4295548840</v>
      </c>
    </row>
  </sheetData>
  <phoneticPr fontId="2" type="noConversion"/>
  <dataValidations count="3">
    <dataValidation type="list" allowBlank="1" sqref="B2:C127" xr:uid="{00000000-0002-0000-0100-000000000000}">
      <formula1>#REF!</formula1>
    </dataValidation>
    <dataValidation type="custom" allowBlank="1" showDropDown="1" sqref="F2:G127" xr:uid="{00000000-0002-0000-0100-000001000000}">
      <formula1>OR(NOT(ISERROR(DATEVALUE(F2))), AND(ISNUMBER(F2), LEFT(CELL("format", F2))="D"))</formula1>
    </dataValidation>
    <dataValidation type="custom" allowBlank="1" showDropDown="1" sqref="I2:I127" xr:uid="{00000000-0002-0000-01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IPTOB</cp:lastModifiedBy>
  <dcterms:modified xsi:type="dcterms:W3CDTF">2026-09-28T07:08:14Z</dcterms:modified>
</cp:coreProperties>
</file>